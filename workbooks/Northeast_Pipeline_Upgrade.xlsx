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HP PAVILLION 17\OneDrive\Desktop\Global\"/>
    </mc:Choice>
  </mc:AlternateContent>
  <xr:revisionPtr revIDLastSave="0" documentId="13_ncr:1_{090A4D60-BB4C-4554-83EE-ABDF2ADF87C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n State Summary" sheetId="1" r:id="rId1"/>
    <sheet name="Total Spend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9" i="1" l="1"/>
  <c r="S48" i="1"/>
  <c r="S47" i="1"/>
  <c r="S46" i="1"/>
  <c r="S43" i="1"/>
  <c r="S42" i="1"/>
  <c r="S39" i="1"/>
  <c r="S38" i="1"/>
  <c r="S35" i="1"/>
  <c r="S31" i="1"/>
  <c r="S19" i="1"/>
  <c r="S18" i="1"/>
  <c r="I42" i="2"/>
  <c r="I41" i="2"/>
  <c r="I40" i="2"/>
  <c r="I39" i="2"/>
  <c r="I37" i="2"/>
  <c r="I36" i="2"/>
  <c r="I35" i="2"/>
  <c r="I34" i="2"/>
  <c r="H30" i="2"/>
  <c r="H7" i="2" s="1"/>
  <c r="G30" i="2"/>
  <c r="F30" i="2"/>
  <c r="F7" i="2" s="1"/>
  <c r="E30" i="2"/>
  <c r="E7" i="2" s="1"/>
  <c r="D30" i="2"/>
  <c r="I30" i="2" s="1"/>
  <c r="I29" i="2"/>
  <c r="I27" i="2"/>
  <c r="I26" i="2"/>
  <c r="I25" i="2"/>
  <c r="I24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H8" i="2"/>
  <c r="G8" i="2"/>
  <c r="F8" i="2"/>
  <c r="E8" i="2"/>
  <c r="D8" i="2"/>
  <c r="C8" i="2"/>
  <c r="G7" i="2"/>
  <c r="G6" i="2" s="1"/>
  <c r="C7" i="2"/>
  <c r="Q6" i="2"/>
  <c r="P6" i="2"/>
  <c r="O6" i="2"/>
  <c r="N6" i="2"/>
  <c r="M6" i="2"/>
  <c r="L6" i="2"/>
  <c r="K6" i="2"/>
  <c r="R89" i="1"/>
  <c r="I89" i="1"/>
  <c r="R88" i="1"/>
  <c r="I88" i="1"/>
  <c r="R87" i="1"/>
  <c r="I87" i="1"/>
  <c r="R86" i="1"/>
  <c r="I86" i="1"/>
  <c r="Q85" i="1"/>
  <c r="P85" i="1"/>
  <c r="P14" i="1" s="1"/>
  <c r="P12" i="1" s="1"/>
  <c r="O85" i="1"/>
  <c r="N85" i="1"/>
  <c r="M85" i="1"/>
  <c r="L85" i="1"/>
  <c r="L14" i="1" s="1"/>
  <c r="L12" i="1" s="1"/>
  <c r="H85" i="1"/>
  <c r="G85" i="1"/>
  <c r="F85" i="1"/>
  <c r="E85" i="1"/>
  <c r="D85" i="1"/>
  <c r="C85" i="1"/>
  <c r="Q76" i="1"/>
  <c r="R76" i="1" s="1"/>
  <c r="G76" i="1"/>
  <c r="H76" i="1" s="1"/>
  <c r="R74" i="1"/>
  <c r="I74" i="1"/>
  <c r="R72" i="1"/>
  <c r="I72" i="1"/>
  <c r="H69" i="1"/>
  <c r="R67" i="1"/>
  <c r="N70" i="1" s="1"/>
  <c r="I67" i="1"/>
  <c r="C70" i="1" s="1"/>
  <c r="R63" i="1"/>
  <c r="L65" i="1" s="1"/>
  <c r="I63" i="1"/>
  <c r="E64" i="1" s="1"/>
  <c r="R59" i="1"/>
  <c r="N61" i="1" s="1"/>
  <c r="I59" i="1"/>
  <c r="C61" i="1" s="1"/>
  <c r="R57" i="1"/>
  <c r="I57" i="1"/>
  <c r="R52" i="1"/>
  <c r="N54" i="1" s="1"/>
  <c r="I52" i="1"/>
  <c r="G55" i="1" s="1"/>
  <c r="R51" i="1"/>
  <c r="I51" i="1"/>
  <c r="R49" i="1"/>
  <c r="I49" i="1"/>
  <c r="R47" i="1"/>
  <c r="I47" i="1"/>
  <c r="R46" i="1"/>
  <c r="I46" i="1"/>
  <c r="Q45" i="1"/>
  <c r="P45" i="1"/>
  <c r="O45" i="1"/>
  <c r="N45" i="1"/>
  <c r="N14" i="1" s="1"/>
  <c r="N12" i="1" s="1"/>
  <c r="M45" i="1"/>
  <c r="M14" i="1" s="1"/>
  <c r="M12" i="1" s="1"/>
  <c r="L45" i="1"/>
  <c r="H45" i="1"/>
  <c r="G45" i="1"/>
  <c r="G14" i="1" s="1"/>
  <c r="G12" i="1" s="1"/>
  <c r="F45" i="1"/>
  <c r="F14" i="1" s="1"/>
  <c r="F12" i="1" s="1"/>
  <c r="E45" i="1"/>
  <c r="D45" i="1"/>
  <c r="C45" i="1"/>
  <c r="P43" i="1"/>
  <c r="R41" i="1"/>
  <c r="N42" i="1" s="1"/>
  <c r="I41" i="1"/>
  <c r="G43" i="1" s="1"/>
  <c r="R37" i="1"/>
  <c r="L39" i="1" s="1"/>
  <c r="I37" i="1"/>
  <c r="E38" i="1" s="1"/>
  <c r="R35" i="1"/>
  <c r="I35" i="1"/>
  <c r="R31" i="1"/>
  <c r="I31" i="1"/>
  <c r="E33" i="1" s="1"/>
  <c r="R26" i="1"/>
  <c r="O26" i="1"/>
  <c r="I26" i="1"/>
  <c r="F26" i="1"/>
  <c r="R23" i="1"/>
  <c r="O23" i="1"/>
  <c r="I23" i="1"/>
  <c r="F23" i="1"/>
  <c r="R20" i="1"/>
  <c r="O20" i="1"/>
  <c r="I20" i="1"/>
  <c r="F20" i="1"/>
  <c r="R17" i="1"/>
  <c r="O17" i="1"/>
  <c r="I17" i="1"/>
  <c r="I13" i="1" s="1"/>
  <c r="F17" i="1"/>
  <c r="C14" i="1"/>
  <c r="C12" i="1" s="1"/>
  <c r="R13" i="1"/>
  <c r="C55" i="1" l="1"/>
  <c r="E14" i="1"/>
  <c r="E12" i="1" s="1"/>
  <c r="G54" i="1"/>
  <c r="N60" i="1"/>
  <c r="D70" i="1"/>
  <c r="P55" i="1"/>
  <c r="R45" i="1"/>
  <c r="M61" i="1"/>
  <c r="G70" i="1"/>
  <c r="O55" i="1"/>
  <c r="D68" i="1"/>
  <c r="R85" i="1"/>
  <c r="H78" i="1"/>
  <c r="I78" i="1" s="1"/>
  <c r="H77" i="1"/>
  <c r="I77" i="1" s="1"/>
  <c r="H81" i="1"/>
  <c r="I81" i="1" s="1"/>
  <c r="H42" i="1"/>
  <c r="L38" i="1"/>
  <c r="D42" i="1"/>
  <c r="O42" i="1"/>
  <c r="N43" i="1"/>
  <c r="I45" i="1"/>
  <c r="H14" i="1"/>
  <c r="H12" i="1" s="1"/>
  <c r="O14" i="1"/>
  <c r="O12" i="1" s="1"/>
  <c r="L54" i="1"/>
  <c r="H55" i="1"/>
  <c r="C60" i="1"/>
  <c r="H60" i="1"/>
  <c r="P60" i="1"/>
  <c r="H61" i="1"/>
  <c r="P61" i="1"/>
  <c r="P65" i="1"/>
  <c r="G68" i="1"/>
  <c r="C69" i="1"/>
  <c r="O69" i="1"/>
  <c r="H70" i="1"/>
  <c r="E6" i="2"/>
  <c r="I8" i="2"/>
  <c r="D43" i="1"/>
  <c r="E60" i="1"/>
  <c r="P39" i="1"/>
  <c r="G42" i="1"/>
  <c r="C43" i="1"/>
  <c r="O43" i="1"/>
  <c r="D54" i="1"/>
  <c r="O54" i="1"/>
  <c r="N55" i="1"/>
  <c r="D60" i="1"/>
  <c r="L60" i="1"/>
  <c r="Q60" i="1"/>
  <c r="L61" i="1"/>
  <c r="H68" i="1"/>
  <c r="D69" i="1"/>
  <c r="P69" i="1"/>
  <c r="L70" i="1"/>
  <c r="I85" i="1"/>
  <c r="C6" i="2"/>
  <c r="F6" i="2"/>
  <c r="I7" i="2"/>
  <c r="D61" i="1"/>
  <c r="L68" i="1"/>
  <c r="O70" i="1"/>
  <c r="L42" i="1"/>
  <c r="H43" i="1"/>
  <c r="H54" i="1"/>
  <c r="D55" i="1"/>
  <c r="F60" i="1"/>
  <c r="O60" i="1"/>
  <c r="G61" i="1"/>
  <c r="O61" i="1"/>
  <c r="L64" i="1"/>
  <c r="O68" i="1"/>
  <c r="N69" i="1"/>
  <c r="H6" i="2"/>
  <c r="I6" i="2"/>
  <c r="D7" i="2"/>
  <c r="D6" i="2" s="1"/>
  <c r="E39" i="1"/>
  <c r="M38" i="1"/>
  <c r="F33" i="1"/>
  <c r="F38" i="1"/>
  <c r="Q38" i="1"/>
  <c r="M39" i="1"/>
  <c r="F64" i="1"/>
  <c r="Q64" i="1"/>
  <c r="M65" i="1"/>
  <c r="H79" i="1"/>
  <c r="I79" i="1" s="1"/>
  <c r="H83" i="1"/>
  <c r="I83" i="1" s="1"/>
  <c r="Q14" i="1"/>
  <c r="Q12" i="1" s="1"/>
  <c r="G38" i="1"/>
  <c r="C39" i="1"/>
  <c r="N39" i="1"/>
  <c r="E42" i="1"/>
  <c r="P42" i="1"/>
  <c r="L43" i="1"/>
  <c r="E54" i="1"/>
  <c r="P54" i="1"/>
  <c r="L55" i="1"/>
  <c r="E61" i="1"/>
  <c r="G64" i="1"/>
  <c r="C65" i="1"/>
  <c r="N65" i="1"/>
  <c r="E68" i="1"/>
  <c r="P68" i="1"/>
  <c r="L69" i="1"/>
  <c r="E70" i="1"/>
  <c r="P70" i="1"/>
  <c r="I76" i="1"/>
  <c r="H38" i="1"/>
  <c r="D39" i="1"/>
  <c r="O39" i="1"/>
  <c r="F42" i="1"/>
  <c r="Q42" i="1"/>
  <c r="M43" i="1"/>
  <c r="F54" i="1"/>
  <c r="Q54" i="1"/>
  <c r="M55" i="1"/>
  <c r="M60" i="1"/>
  <c r="F61" i="1"/>
  <c r="Q61" i="1"/>
  <c r="H64" i="1"/>
  <c r="D65" i="1"/>
  <c r="O65" i="1"/>
  <c r="F68" i="1"/>
  <c r="Q68" i="1"/>
  <c r="M69" i="1"/>
  <c r="F70" i="1"/>
  <c r="Q70" i="1"/>
  <c r="H80" i="1"/>
  <c r="I80" i="1" s="1"/>
  <c r="Q39" i="1"/>
  <c r="M64" i="1"/>
  <c r="E32" i="1"/>
  <c r="N38" i="1"/>
  <c r="E43" i="1"/>
  <c r="D14" i="1"/>
  <c r="D12" i="1" s="1"/>
  <c r="F32" i="1"/>
  <c r="H39" i="1"/>
  <c r="F43" i="1"/>
  <c r="H82" i="1"/>
  <c r="I82" i="1" s="1"/>
  <c r="E65" i="1"/>
  <c r="F39" i="1"/>
  <c r="F65" i="1"/>
  <c r="Q65" i="1"/>
  <c r="C38" i="1"/>
  <c r="G39" i="1"/>
  <c r="E55" i="1"/>
  <c r="C64" i="1"/>
  <c r="N64" i="1"/>
  <c r="G65" i="1"/>
  <c r="E69" i="1"/>
  <c r="D38" i="1"/>
  <c r="O38" i="1"/>
  <c r="M42" i="1"/>
  <c r="Q43" i="1"/>
  <c r="M54" i="1"/>
  <c r="F55" i="1"/>
  <c r="Q55" i="1"/>
  <c r="D64" i="1"/>
  <c r="O64" i="1"/>
  <c r="H65" i="1"/>
  <c r="M68" i="1"/>
  <c r="F69" i="1"/>
  <c r="Q69" i="1"/>
  <c r="M70" i="1"/>
  <c r="P38" i="1"/>
  <c r="C42" i="1"/>
  <c r="C54" i="1"/>
  <c r="G60" i="1"/>
  <c r="P64" i="1"/>
  <c r="C68" i="1"/>
  <c r="N68" i="1"/>
  <c r="G69" i="1"/>
  <c r="R14" i="1" l="1"/>
  <c r="R12" i="1" s="1"/>
  <c r="I14" i="1"/>
  <c r="I12" i="1" s="1"/>
</calcChain>
</file>

<file path=xl/sharedStrings.xml><?xml version="1.0" encoding="utf-8"?>
<sst xmlns="http://schemas.openxmlformats.org/spreadsheetml/2006/main" count="301" uniqueCount="204">
  <si>
    <t>Northeast Upgrade Project - 37 Miles 30" Pipe</t>
  </si>
  <si>
    <t>Assume $800 per week per person -- $600 for lodging, $200 for food, fuel, etc</t>
  </si>
  <si>
    <t>New Jersey (In-State Spending)</t>
  </si>
  <si>
    <t>Pennsylvania (In-State Spending = 20%)</t>
  </si>
  <si>
    <t>Description</t>
  </si>
  <si>
    <t>Total</t>
  </si>
  <si>
    <t>Land Ownership (%)</t>
  </si>
  <si>
    <t>Government</t>
  </si>
  <si>
    <t>Business</t>
  </si>
  <si>
    <t>Private</t>
  </si>
  <si>
    <t>Church</t>
  </si>
  <si>
    <t>Passaic River Coalition</t>
  </si>
  <si>
    <t>TOTAL</t>
  </si>
  <si>
    <t>TOTAL In-State Compressor Costs</t>
  </si>
  <si>
    <t>TOTAL In-State Pipeline Costs</t>
  </si>
  <si>
    <t>COMPRESSOR COST BREAKDOWN</t>
  </si>
  <si>
    <t>Compressor 325</t>
  </si>
  <si>
    <t>Wantage, NJ (Sussex County)</t>
  </si>
  <si>
    <t>Local Construction Labor</t>
  </si>
  <si>
    <t>60% of total labor is local</t>
  </si>
  <si>
    <t>Contractor Materials</t>
  </si>
  <si>
    <t>see 'Compressor Materials' tab for detail</t>
  </si>
  <si>
    <t>Compressor 319</t>
  </si>
  <si>
    <t>Wyalusing, PA (Bradford County)</t>
  </si>
  <si>
    <t>Compressor 321</t>
  </si>
  <si>
    <t>Clifford, PA (Susquehanna County)</t>
  </si>
  <si>
    <t>Compressor 323</t>
  </si>
  <si>
    <t>Lackawaxen, PA (Pike County)</t>
  </si>
  <si>
    <t>PIPELINE COST BREAKDOWN</t>
  </si>
  <si>
    <t>Pipe, Coating &amp; Handling</t>
  </si>
  <si>
    <t>Transportation</t>
  </si>
  <si>
    <t>Local Longshoremen Salary</t>
  </si>
  <si>
    <t>Offload and stack pipe -- NJ Port</t>
  </si>
  <si>
    <t>In-State Trucking</t>
  </si>
  <si>
    <t>Transport pipe from NJ Port to site</t>
  </si>
  <si>
    <t>Cathodic Protection (CP) System</t>
  </si>
  <si>
    <t>In-state expenses for 5 out-of-state workers working in-state for 16 weeks</t>
  </si>
  <si>
    <t>Engineering Consultants (Willbros)</t>
  </si>
  <si>
    <r>
      <t xml:space="preserve">Estimated percentage of </t>
    </r>
    <r>
      <rPr>
        <b/>
        <sz val="9"/>
        <rFont val="Arial"/>
        <family val="2"/>
      </rPr>
      <t>TOTAL</t>
    </r>
    <r>
      <rPr>
        <sz val="9"/>
        <rFont val="Arial"/>
        <family val="2"/>
      </rPr>
      <t xml:space="preserve"> El Paso spending:
Project Management: 15%
Drafting: 44% 
Design Engineering: 24% 
Geo-Tech: 15%</t>
    </r>
  </si>
  <si>
    <t>In-State Geo-Tech Workers</t>
  </si>
  <si>
    <t>Subcontractor (driller) 50% cost in field (local drill rigs)</t>
  </si>
  <si>
    <t>On-Site Worker Expenses</t>
  </si>
  <si>
    <t>In-state expenses for 4 out-of-state workers for 12 weeks</t>
  </si>
  <si>
    <t>Survey</t>
  </si>
  <si>
    <t>In-state expenses for out-of-state workers and NJ surveyor</t>
  </si>
  <si>
    <t>In-state expenses for a varying number of out-of-state workers for 4 weeks</t>
  </si>
  <si>
    <t>New Jersey Licensed Surveyor</t>
  </si>
  <si>
    <t>New Jersey based employee</t>
  </si>
  <si>
    <t>Environmental Consultant</t>
  </si>
  <si>
    <t>Local labor and in-state worker expenses for out-of-state workers</t>
  </si>
  <si>
    <t>AECOM (consultant)</t>
  </si>
  <si>
    <r>
      <t xml:space="preserve">Estimated percentage of </t>
    </r>
    <r>
      <rPr>
        <b/>
        <sz val="9"/>
        <rFont val="Arial"/>
        <family val="2"/>
      </rPr>
      <t>TOTAL</t>
    </r>
    <r>
      <rPr>
        <sz val="9"/>
        <rFont val="Arial"/>
        <family val="2"/>
      </rPr>
      <t xml:space="preserve"> El Paso spending:
Project Management: 11%
Agency Meetings: 2%
GIS Support:4%
Biological Surveys: 12%
Cultural Surveys: 40%
Rare Species Surveys: 13%
FERC Environmental Report: 10%
Fed Permit: 1%
NJ Permit: 3%
PA Permit: 3%</t>
    </r>
  </si>
  <si>
    <t>Gray &amp; Pape (consultant)</t>
  </si>
  <si>
    <r>
      <t xml:space="preserve">Estimated percentage of </t>
    </r>
    <r>
      <rPr>
        <b/>
        <sz val="9"/>
        <rFont val="Arial"/>
        <family val="2"/>
      </rPr>
      <t>TOTAL</t>
    </r>
    <r>
      <rPr>
        <sz val="9"/>
        <rFont val="Arial"/>
        <family val="2"/>
      </rPr>
      <t xml:space="preserve"> El Paso spending:
Construction Support: 47%
Bio Monitor: 36%
Variance Support: 4%
Permit Fees: 13%</t>
    </r>
  </si>
  <si>
    <t>3rd party Environmental Consultants (FERC)</t>
  </si>
  <si>
    <t>In-state expenses for out-of-state workers</t>
  </si>
  <si>
    <t>Mitigation</t>
  </si>
  <si>
    <t>Cost of land/real estate</t>
  </si>
  <si>
    <t>ROW Services</t>
  </si>
  <si>
    <r>
      <t xml:space="preserve">Estimated percentage of </t>
    </r>
    <r>
      <rPr>
        <b/>
        <sz val="9"/>
        <rFont val="Arial"/>
        <family val="2"/>
      </rPr>
      <t>TOTAL</t>
    </r>
    <r>
      <rPr>
        <sz val="9"/>
        <rFont val="Arial"/>
        <family val="2"/>
      </rPr>
      <t xml:space="preserve"> El Paso spending:
ROW Supervision: 24%
Document Specialist: 12%
Title Search: 5%
Title Review: 1%
Additional Per Diem: 4%
ROW - TAR/Pipeyards: 5%
Acquisition: 33%
Construction Support: 6%
Office Expense/Supplies: 3%
In-House Labor &amp; Travel: 6%</t>
    </r>
  </si>
  <si>
    <t>Local Labor</t>
  </si>
  <si>
    <t>No local labor</t>
  </si>
  <si>
    <t>Agent On-Site Expenses</t>
  </si>
  <si>
    <t>2 workers per state for 192 weeks (all labor is 'housed' Milford, PA office) -- NJ in-state expenses are only $400 per week because they are 'housed' in PA</t>
  </si>
  <si>
    <t>Office Costs (Millford, PA)</t>
  </si>
  <si>
    <t>Office in Milford, PA</t>
  </si>
  <si>
    <t>Land</t>
  </si>
  <si>
    <r>
      <t>Easements to landowners
Estimated percentage of</t>
    </r>
    <r>
      <rPr>
        <b/>
        <sz val="9"/>
        <rFont val="Arial"/>
        <family val="2"/>
      </rPr>
      <t xml:space="preserve"> TOTAL</t>
    </r>
    <r>
      <rPr>
        <sz val="9"/>
        <rFont val="Arial"/>
        <family val="2"/>
      </rPr>
      <t xml:space="preserve"> El Paso spending:
Perm ROW: 28%
Temporary Workspace (TWS): 25%
Damages: 23%
Leases: 14%
Permits: 0.3%
Mitigation in NJ: 11%</t>
    </r>
  </si>
  <si>
    <t>Legal Services</t>
  </si>
  <si>
    <t>NJ Local Labor: (Legal Permitting $300,000; Condemnations $400,000; Winning Strategies $437,500)
PA Local Labor (Condemnations $600,000)</t>
  </si>
  <si>
    <t>Inspection</t>
  </si>
  <si>
    <r>
      <t xml:space="preserve">Estimated percentage of </t>
    </r>
    <r>
      <rPr>
        <b/>
        <sz val="9"/>
        <rFont val="Arial"/>
        <family val="2"/>
      </rPr>
      <t>TOTAL</t>
    </r>
    <r>
      <rPr>
        <sz val="9"/>
        <rFont val="Arial"/>
        <family val="2"/>
      </rPr>
      <t xml:space="preserve"> El Paso spending:
Supervision: 16%
Welders: 16%
Utility Inspectors: 24%
NDE (non-destructive examination): 23%
Environmental: 20%</t>
    </r>
  </si>
  <si>
    <t>In-state expenses for 61 out-of-state workers over 22 weeks</t>
  </si>
  <si>
    <t>Installation Other</t>
  </si>
  <si>
    <r>
      <t xml:space="preserve">Estimated percentage of </t>
    </r>
    <r>
      <rPr>
        <b/>
        <sz val="9"/>
        <rFont val="Arial"/>
        <family val="2"/>
      </rPr>
      <t>TOTAL</t>
    </r>
    <r>
      <rPr>
        <sz val="9"/>
        <rFont val="Arial"/>
        <family val="2"/>
      </rPr>
      <t xml:space="preserve"> El Paso spending:
Power Pole Relocation: 5%
Valve Services: 4%
Pigs: 2%
Railroad Crossing: 4%
Misc: 5%
Restoration: 80%</t>
    </r>
  </si>
  <si>
    <t>In-State Labor</t>
  </si>
  <si>
    <t>Average local wage</t>
  </si>
  <si>
    <t>Rented Heavy Equipment</t>
  </si>
  <si>
    <t>Assume 20% rented</t>
  </si>
  <si>
    <t>Materials</t>
  </si>
  <si>
    <t>ie. concrete, rebar, power pole, fuel, etc</t>
  </si>
  <si>
    <t>Company Labor and Expenses</t>
  </si>
  <si>
    <t>Contingency</t>
  </si>
  <si>
    <t>Pro-rata allocation across all categories</t>
  </si>
  <si>
    <t>AFUDC</t>
  </si>
  <si>
    <t>Local Taxes</t>
  </si>
  <si>
    <t>Montague</t>
  </si>
  <si>
    <t>Pipeline (Sussex County)</t>
  </si>
  <si>
    <t>Wantage</t>
  </si>
  <si>
    <t>West Milford</t>
  </si>
  <si>
    <t>Pipeline (Passaic County)</t>
  </si>
  <si>
    <t>Ringwood</t>
  </si>
  <si>
    <t>Mahwah</t>
  </si>
  <si>
    <t>Pipeline (Bergen County)</t>
  </si>
  <si>
    <t>Meter Upgrade (Bergen County)</t>
  </si>
  <si>
    <t>Compressor 325 (Sussex County)</t>
  </si>
  <si>
    <t>Installation</t>
  </si>
  <si>
    <t xml:space="preserve">In-State Labor </t>
  </si>
  <si>
    <t>Contractor Temp Housing &amp; Meals</t>
  </si>
  <si>
    <t>In-state expenses for 200 out-of-state workers for 20 weeks</t>
  </si>
  <si>
    <t>Heavy Equipment Mats</t>
  </si>
  <si>
    <t>Fuel</t>
  </si>
  <si>
    <t>Concrete, forms and rebar</t>
  </si>
  <si>
    <t>Steel shapes, miscellaneous hardware</t>
  </si>
  <si>
    <t>Fencing</t>
  </si>
  <si>
    <t>Drilling Mud, Additives (drills, bores)</t>
  </si>
  <si>
    <t>Casing pipe, vent piping (road crossings)</t>
  </si>
  <si>
    <t>Spacers and End Seals (road crossings)</t>
  </si>
  <si>
    <t>Concrete for Pipe Weighting</t>
  </si>
  <si>
    <t>Extra Heavy Equipment Mats</t>
  </si>
  <si>
    <t>Rock Shield</t>
  </si>
  <si>
    <t>Concrete Coating</t>
  </si>
  <si>
    <t>Concrete Weights</t>
  </si>
  <si>
    <t xml:space="preserve">Sheet Piling </t>
  </si>
  <si>
    <t>Safety Fence</t>
  </si>
  <si>
    <t xml:space="preserve">Silt Fence </t>
  </si>
  <si>
    <t>Hay Bales</t>
  </si>
  <si>
    <t>Ditch Breakers</t>
  </si>
  <si>
    <t>Mulch</t>
  </si>
  <si>
    <t>Fertilizer</t>
  </si>
  <si>
    <t xml:space="preserve">Seed </t>
  </si>
  <si>
    <t>Geotech Fabric</t>
  </si>
  <si>
    <t>Curlex</t>
  </si>
  <si>
    <t>Rip Rap (rock for bank stabilization)</t>
  </si>
  <si>
    <t xml:space="preserve">Turbidity Curtains </t>
  </si>
  <si>
    <t xml:space="preserve">Sediment Staw Logs </t>
  </si>
  <si>
    <t>Sediment Cocconut Logs</t>
  </si>
  <si>
    <t>Crushed Rock</t>
  </si>
  <si>
    <t>Fencing Gates</t>
  </si>
  <si>
    <t xml:space="preserve">Fencing </t>
  </si>
  <si>
    <t>** EQUIPMENT</t>
  </si>
  <si>
    <t>EXCAVATORS</t>
  </si>
  <si>
    <t>BULLDOZERS</t>
  </si>
  <si>
    <t>SIDE BOOMS</t>
  </si>
  <si>
    <t>BACK HOES</t>
  </si>
  <si>
    <t>FRONT END LOADERS</t>
  </si>
  <si>
    <t>MOTOR GRADERS</t>
  </si>
  <si>
    <t>TIGER SAWS</t>
  </si>
  <si>
    <t>CRANE</t>
  </si>
  <si>
    <t>HYDROLIFT</t>
  </si>
  <si>
    <t>DUMP TRUCKS</t>
  </si>
  <si>
    <t>LOW BOYS</t>
  </si>
  <si>
    <t>TRACTORS</t>
  </si>
  <si>
    <t>TRUCKS</t>
  </si>
  <si>
    <t>WELDING RIGS</t>
  </si>
  <si>
    <t>AIR COMPRESSORS</t>
  </si>
  <si>
    <t>WATER PUMPS</t>
  </si>
  <si>
    <t>LIGHT PLANTS</t>
  </si>
  <si>
    <t>Assume $800 per week per person for on-site housing, food, etc</t>
  </si>
  <si>
    <t>Total Spending (In-State &amp; Out-of-State)</t>
  </si>
  <si>
    <t>Company</t>
  </si>
  <si>
    <t>TOTAL PIPELINE COSTS</t>
  </si>
  <si>
    <t>TOTAL COMPRESSOR COSTS</t>
  </si>
  <si>
    <t>El Paso</t>
  </si>
  <si>
    <t>Materials (pipe)</t>
  </si>
  <si>
    <t>Mechanical Materials</t>
  </si>
  <si>
    <t>Materials (valves &amp; fittings) &amp; Transportation</t>
  </si>
  <si>
    <t>All Corrpro</t>
  </si>
  <si>
    <t>Labor, Materials &amp; Transportation</t>
  </si>
  <si>
    <t>Engineering Consultants</t>
  </si>
  <si>
    <t>Willbros</t>
  </si>
  <si>
    <t>Project Management, drafting, design engineering, geo-tech</t>
  </si>
  <si>
    <t>3rd Party Engineering Consultants</t>
  </si>
  <si>
    <t>SGC Engineering</t>
  </si>
  <si>
    <t>3rd party Environmental Consultants</t>
  </si>
  <si>
    <t>FERC</t>
  </si>
  <si>
    <t>Documents specialist, title search/review, construction support, office expense, in-house labor &amp; travel</t>
  </si>
  <si>
    <t>Easements to landowners</t>
  </si>
  <si>
    <t>Watson &amp; Stevens</t>
  </si>
  <si>
    <t>Line Pack</t>
  </si>
  <si>
    <t>State Taxes</t>
  </si>
  <si>
    <t>Overhead (6.73%)</t>
  </si>
  <si>
    <t>Payroll, overhead</t>
  </si>
  <si>
    <t>Labor</t>
  </si>
  <si>
    <t>Truck transportation</t>
  </si>
  <si>
    <t>Accommodation</t>
  </si>
  <si>
    <t>Architectural, engineering, and related services</t>
  </si>
  <si>
    <t>5416A0</t>
  </si>
  <si>
    <t>Environmental and other technical consulting services</t>
  </si>
  <si>
    <t>Services to buildings and dwellings</t>
  </si>
  <si>
    <t>Management of companies and enterprises</t>
  </si>
  <si>
    <t>Legal services</t>
  </si>
  <si>
    <t>5419A0</t>
  </si>
  <si>
    <t xml:space="preserve">All other miscellaneous professional, scientific, and technical services </t>
  </si>
  <si>
    <t>Commercial and industrial machinery and equipment rental and leasing</t>
  </si>
  <si>
    <t>Building material and garden equipment and supplies dealers</t>
  </si>
  <si>
    <t>GSLGO</t>
  </si>
  <si>
    <t>State and local government other services</t>
  </si>
  <si>
    <t>Machinery, equipment, and supplies</t>
  </si>
  <si>
    <t>Petroleum and petroleum products</t>
  </si>
  <si>
    <t>Steel product manufacturing from purchased steel</t>
  </si>
  <si>
    <t>All other miscellaneous manufacturing</t>
  </si>
  <si>
    <t>Fabricated pipe and pipe fitting manufacturing</t>
  </si>
  <si>
    <t>Concrete pipe, brick, and block manufacturing</t>
  </si>
  <si>
    <t>Paint and coating manufacturing</t>
  </si>
  <si>
    <t>Other crop farming</t>
  </si>
  <si>
    <t>Fertilizer manufacturing</t>
  </si>
  <si>
    <t>1111B0</t>
  </si>
  <si>
    <t>Grain farming</t>
  </si>
  <si>
    <t>Textile and fabric finishing and fabric coating mills</t>
  </si>
  <si>
    <t>Other textile product mills</t>
  </si>
  <si>
    <t>Cut stone and stone product manufacturing</t>
  </si>
  <si>
    <t>Air and gas compressor manufacturing</t>
  </si>
  <si>
    <t>Employment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</si>
</sst>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"/>
    <numFmt numFmtId="166" formatCode="0.0%"/>
    <numFmt numFmtId="167" formatCode="_(* #,##0_);_(* \(#,##0\);_(* &quot;-&quot;??_);_(@_)"/>
    <numFmt numFmtId="168" formatCode="0.00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 val="singleAccounting"/>
      <sz val="9"/>
      <color rgb="FFFF0000"/>
      <name val="Arial"/>
      <family val="2"/>
    </font>
    <font>
      <sz val="9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80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164" fontId="3" fillId="2" borderId="0" xfId="2" applyNumberFormat="1" applyFont="1" applyFill="1"/>
    <xf numFmtId="165" fontId="3" fillId="2" borderId="0" xfId="0" applyNumberFormat="1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/>
    <xf numFmtId="43" fontId="3" fillId="2" borderId="0" xfId="1" applyFont="1" applyFill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wrapText="1"/>
    </xf>
    <xf numFmtId="166" fontId="3" fillId="2" borderId="0" xfId="3" applyNumberFormat="1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39" fontId="3" fillId="2" borderId="0" xfId="0" applyNumberFormat="1" applyFont="1" applyFill="1"/>
    <xf numFmtId="37" fontId="3" fillId="2" borderId="0" xfId="0" applyNumberFormat="1" applyFont="1" applyFill="1"/>
    <xf numFmtId="0" fontId="2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wrapText="1"/>
    </xf>
    <xf numFmtId="10" fontId="3" fillId="2" borderId="1" xfId="3" applyNumberFormat="1" applyFont="1" applyFill="1" applyBorder="1" applyAlignment="1">
      <alignment horizontal="center" wrapText="1"/>
    </xf>
    <xf numFmtId="0" fontId="3" fillId="2" borderId="1" xfId="0" applyFont="1" applyFill="1" applyBorder="1"/>
    <xf numFmtId="10" fontId="3" fillId="2" borderId="1" xfId="3" applyNumberFormat="1" applyFont="1" applyFill="1" applyBorder="1" applyAlignment="1">
      <alignment wrapText="1"/>
    </xf>
    <xf numFmtId="0" fontId="5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wrapText="1"/>
    </xf>
    <xf numFmtId="165" fontId="5" fillId="2" borderId="1" xfId="2" applyNumberFormat="1" applyFont="1" applyFill="1" applyBorder="1" applyAlignment="1">
      <alignment horizontal="center"/>
    </xf>
    <xf numFmtId="165" fontId="6" fillId="2" borderId="0" xfId="0" applyNumberFormat="1" applyFont="1" applyFill="1"/>
    <xf numFmtId="166" fontId="6" fillId="2" borderId="0" xfId="0" applyNumberFormat="1" applyFont="1" applyFill="1"/>
    <xf numFmtId="0" fontId="6" fillId="2" borderId="0" xfId="0" applyFont="1" applyFill="1"/>
    <xf numFmtId="164" fontId="6" fillId="2" borderId="0" xfId="2" applyNumberFormat="1" applyFont="1" applyFill="1" applyBorder="1"/>
    <xf numFmtId="43" fontId="6" fillId="2" borderId="0" xfId="1" applyFont="1" applyFill="1" applyBorder="1"/>
    <xf numFmtId="0" fontId="2" fillId="2" borderId="0" xfId="0" applyFont="1" applyFill="1" applyAlignment="1">
      <alignment horizontal="right" vertical="center" wrapText="1"/>
    </xf>
    <xf numFmtId="165" fontId="2" fillId="2" borderId="1" xfId="2" applyNumberFormat="1" applyFont="1" applyFill="1" applyBorder="1" applyAlignment="1">
      <alignment horizontal="center"/>
    </xf>
    <xf numFmtId="165" fontId="3" fillId="2" borderId="0" xfId="0" applyNumberFormat="1" applyFont="1" applyFill="1"/>
    <xf numFmtId="166" fontId="3" fillId="2" borderId="0" xfId="0" applyNumberFormat="1" applyFont="1" applyFill="1"/>
    <xf numFmtId="164" fontId="3" fillId="2" borderId="0" xfId="2" applyNumberFormat="1" applyFont="1" applyFill="1" applyBorder="1"/>
    <xf numFmtId="43" fontId="3" fillId="2" borderId="0" xfId="1" applyFont="1" applyFill="1" applyBorder="1"/>
    <xf numFmtId="165" fontId="5" fillId="2" borderId="0" xfId="2" applyNumberFormat="1" applyFont="1" applyFill="1" applyBorder="1" applyAlignment="1">
      <alignment horizontal="center"/>
    </xf>
    <xf numFmtId="0" fontId="7" fillId="6" borderId="0" xfId="0" applyFont="1" applyFill="1" applyAlignment="1">
      <alignment vertical="center"/>
    </xf>
    <xf numFmtId="0" fontId="8" fillId="6" borderId="0" xfId="0" applyFont="1" applyFill="1" applyAlignment="1">
      <alignment horizontal="center" wrapText="1"/>
    </xf>
    <xf numFmtId="0" fontId="8" fillId="6" borderId="0" xfId="0" applyFont="1" applyFill="1" applyAlignment="1">
      <alignment horizontal="center"/>
    </xf>
    <xf numFmtId="164" fontId="8" fillId="6" borderId="0" xfId="2" applyNumberFormat="1" applyFont="1" applyFill="1"/>
    <xf numFmtId="0" fontId="8" fillId="6" borderId="0" xfId="0" applyFont="1" applyFill="1"/>
    <xf numFmtId="43" fontId="8" fillId="6" borderId="0" xfId="1" applyFont="1" applyFill="1"/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164" fontId="3" fillId="2" borderId="1" xfId="2" applyNumberFormat="1" applyFont="1" applyFill="1" applyBorder="1"/>
    <xf numFmtId="165" fontId="2" fillId="2" borderId="1" xfId="0" applyNumberFormat="1" applyFont="1" applyFill="1" applyBorder="1" applyAlignment="1">
      <alignment horizontal="center"/>
    </xf>
    <xf numFmtId="0" fontId="3" fillId="7" borderId="0" xfId="0" applyFont="1" applyFill="1" applyAlignment="1">
      <alignment horizontal="right" vertical="center" wrapText="1"/>
    </xf>
    <xf numFmtId="0" fontId="3" fillId="7" borderId="1" xfId="0" applyFont="1" applyFill="1" applyBorder="1" applyAlignment="1">
      <alignment vertical="center" wrapText="1"/>
    </xf>
    <xf numFmtId="165" fontId="3" fillId="7" borderId="1" xfId="0" applyNumberFormat="1" applyFont="1" applyFill="1" applyBorder="1" applyAlignment="1">
      <alignment horizontal="center" vertical="center"/>
    </xf>
    <xf numFmtId="165" fontId="3" fillId="7" borderId="1" xfId="2" applyNumberFormat="1" applyFont="1" applyFill="1" applyBorder="1" applyAlignment="1">
      <alignment horizontal="center" vertical="center"/>
    </xf>
    <xf numFmtId="165" fontId="3" fillId="2" borderId="0" xfId="2" applyNumberFormat="1" applyFont="1" applyFill="1" applyAlignment="1">
      <alignment vertical="center"/>
    </xf>
    <xf numFmtId="164" fontId="3" fillId="2" borderId="0" xfId="2" applyNumberFormat="1" applyFont="1" applyFill="1" applyAlignment="1">
      <alignment vertical="center"/>
    </xf>
    <xf numFmtId="43" fontId="3" fillId="2" borderId="0" xfId="1" applyFont="1" applyFill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165" fontId="3" fillId="2" borderId="1" xfId="2" applyNumberFormat="1" applyFont="1" applyFill="1" applyBorder="1" applyAlignment="1">
      <alignment horizontal="center" vertical="center"/>
    </xf>
    <xf numFmtId="165" fontId="2" fillId="2" borderId="1" xfId="2" applyNumberFormat="1" applyFont="1" applyFill="1" applyBorder="1" applyAlignment="1">
      <alignment horizontal="center" vertical="center"/>
    </xf>
    <xf numFmtId="165" fontId="3" fillId="2" borderId="0" xfId="3" applyNumberFormat="1" applyFont="1" applyFill="1" applyBorder="1" applyAlignment="1">
      <alignment vertical="center"/>
    </xf>
    <xf numFmtId="166" fontId="3" fillId="2" borderId="0" xfId="3" applyNumberFormat="1" applyFont="1" applyFill="1" applyBorder="1" applyAlignment="1">
      <alignment vertical="center"/>
    </xf>
    <xf numFmtId="165" fontId="3" fillId="2" borderId="0" xfId="0" applyNumberFormat="1" applyFont="1" applyFill="1" applyAlignment="1">
      <alignment vertical="center" wrapText="1"/>
    </xf>
    <xf numFmtId="165" fontId="3" fillId="2" borderId="0" xfId="0" applyNumberFormat="1" applyFont="1" applyFill="1" applyAlignment="1">
      <alignment horizontal="center" vertical="center"/>
    </xf>
    <xf numFmtId="165" fontId="3" fillId="2" borderId="0" xfId="3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165" fontId="3" fillId="2" borderId="1" xfId="3" applyNumberFormat="1" applyFont="1" applyFill="1" applyBorder="1" applyAlignment="1">
      <alignment vertical="center"/>
    </xf>
    <xf numFmtId="164" fontId="3" fillId="2" borderId="0" xfId="2" applyNumberFormat="1" applyFont="1" applyFill="1" applyBorder="1" applyAlignment="1">
      <alignment vertical="center"/>
    </xf>
    <xf numFmtId="43" fontId="3" fillId="2" borderId="0" xfId="1" applyFont="1" applyFill="1" applyBorder="1" applyAlignment="1">
      <alignment vertical="center"/>
    </xf>
    <xf numFmtId="165" fontId="3" fillId="2" borderId="1" xfId="2" applyNumberFormat="1" applyFont="1" applyFill="1" applyBorder="1" applyAlignment="1">
      <alignment vertical="center"/>
    </xf>
    <xf numFmtId="0" fontId="3" fillId="7" borderId="2" xfId="0" applyFont="1" applyFill="1" applyBorder="1" applyAlignment="1">
      <alignment vertical="center" wrapText="1"/>
    </xf>
    <xf numFmtId="165" fontId="3" fillId="7" borderId="2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165" fontId="2" fillId="7" borderId="1" xfId="2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64" fontId="2" fillId="2" borderId="0" xfId="2" applyNumberFormat="1" applyFont="1" applyFill="1" applyBorder="1" applyAlignment="1">
      <alignment horizontal="left" vertical="center" wrapText="1"/>
    </xf>
    <xf numFmtId="165" fontId="3" fillId="2" borderId="1" xfId="2" applyNumberFormat="1" applyFont="1" applyFill="1" applyBorder="1" applyAlignment="1">
      <alignment horizontal="center" vertical="center" wrapText="1"/>
    </xf>
    <xf numFmtId="0" fontId="9" fillId="2" borderId="0" xfId="4" applyFont="1" applyFill="1" applyAlignment="1">
      <alignment vertical="center"/>
    </xf>
    <xf numFmtId="165" fontId="9" fillId="2" borderId="0" xfId="4" applyNumberFormat="1" applyFont="1" applyFill="1" applyAlignment="1">
      <alignment vertical="center"/>
    </xf>
    <xf numFmtId="165" fontId="10" fillId="2" borderId="0" xfId="4" applyNumberFormat="1" applyFont="1" applyFill="1" applyAlignment="1">
      <alignment horizontal="center" vertical="center"/>
    </xf>
    <xf numFmtId="165" fontId="10" fillId="2" borderId="0" xfId="4" applyNumberFormat="1" applyFont="1" applyFill="1" applyAlignment="1">
      <alignment vertical="center"/>
    </xf>
    <xf numFmtId="165" fontId="11" fillId="2" borderId="3" xfId="4" applyNumberFormat="1" applyFont="1" applyFill="1" applyBorder="1" applyAlignment="1">
      <alignment vertical="center"/>
    </xf>
    <xf numFmtId="165" fontId="5" fillId="2" borderId="4" xfId="4" applyNumberFormat="1" applyFont="1" applyFill="1" applyBorder="1" applyAlignment="1">
      <alignment vertical="center"/>
    </xf>
    <xf numFmtId="165" fontId="9" fillId="2" borderId="5" xfId="4" applyNumberFormat="1" applyFont="1" applyFill="1" applyBorder="1" applyAlignment="1">
      <alignment vertical="center"/>
    </xf>
    <xf numFmtId="0" fontId="9" fillId="7" borderId="0" xfId="4" applyFont="1" applyFill="1" applyAlignment="1">
      <alignment horizontal="right" vertical="center"/>
    </xf>
    <xf numFmtId="165" fontId="9" fillId="7" borderId="1" xfId="4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165" fontId="3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3" fillId="8" borderId="0" xfId="0" applyFont="1" applyFill="1" applyAlignment="1">
      <alignment horizontal="right" vertical="center" wrapText="1"/>
    </xf>
    <xf numFmtId="0" fontId="3" fillId="8" borderId="1" xfId="0" applyFont="1" applyFill="1" applyBorder="1" applyAlignment="1">
      <alignment horizontal="left" vertical="center" wrapText="1"/>
    </xf>
    <xf numFmtId="165" fontId="3" fillId="8" borderId="1" xfId="2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165" fontId="3" fillId="8" borderId="1" xfId="1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165" fontId="3" fillId="7" borderId="1" xfId="1" applyNumberFormat="1" applyFont="1" applyFill="1" applyBorder="1" applyAlignment="1">
      <alignment horizontal="center" vertical="center"/>
    </xf>
    <xf numFmtId="165" fontId="3" fillId="7" borderId="1" xfId="1" applyNumberFormat="1" applyFont="1" applyFill="1" applyBorder="1" applyAlignment="1">
      <alignment vertical="center"/>
    </xf>
    <xf numFmtId="165" fontId="3" fillId="7" borderId="1" xfId="3" applyNumberFormat="1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43" fontId="0" fillId="2" borderId="0" xfId="1" applyFont="1" applyFill="1"/>
    <xf numFmtId="0" fontId="4" fillId="2" borderId="6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left" wrapText="1"/>
    </xf>
    <xf numFmtId="167" fontId="0" fillId="2" borderId="0" xfId="1" applyNumberFormat="1" applyFont="1" applyFill="1" applyBorder="1" applyAlignment="1">
      <alignment horizontal="center"/>
    </xf>
    <xf numFmtId="167" fontId="4" fillId="2" borderId="0" xfId="1" applyNumberFormat="1" applyFont="1" applyFill="1" applyBorder="1" applyAlignment="1">
      <alignment horizontal="center"/>
    </xf>
    <xf numFmtId="164" fontId="0" fillId="2" borderId="0" xfId="2" applyNumberFormat="1" applyFont="1" applyFill="1" applyBorder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0" fillId="2" borderId="0" xfId="2" applyNumberFormat="1" applyFont="1" applyFill="1" applyAlignment="1">
      <alignment horizontal="center"/>
    </xf>
    <xf numFmtId="43" fontId="0" fillId="2" borderId="0" xfId="1" applyFont="1" applyFill="1" applyAlignment="1">
      <alignment wrapText="1"/>
    </xf>
    <xf numFmtId="0" fontId="0" fillId="2" borderId="0" xfId="0" applyFill="1"/>
    <xf numFmtId="164" fontId="0" fillId="2" borderId="0" xfId="2" applyNumberFormat="1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wrapText="1"/>
    </xf>
    <xf numFmtId="0" fontId="2" fillId="2" borderId="0" xfId="0" applyFont="1" applyFill="1" applyAlignment="1">
      <alignment horizontal="right" wrapText="1"/>
    </xf>
    <xf numFmtId="5" fontId="3" fillId="2" borderId="0" xfId="0" applyNumberFormat="1" applyFont="1" applyFill="1"/>
    <xf numFmtId="165" fontId="3" fillId="2" borderId="1" xfId="2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wrapText="1"/>
    </xf>
    <xf numFmtId="165" fontId="3" fillId="2" borderId="2" xfId="2" applyNumberFormat="1" applyFont="1" applyFill="1" applyBorder="1" applyAlignment="1">
      <alignment horizontal="center"/>
    </xf>
    <xf numFmtId="165" fontId="2" fillId="2" borderId="2" xfId="2" applyNumberFormat="1" applyFont="1" applyFill="1" applyBorder="1" applyAlignment="1">
      <alignment horizontal="center"/>
    </xf>
    <xf numFmtId="164" fontId="3" fillId="2" borderId="0" xfId="2" applyNumberFormat="1" applyFont="1" applyFill="1" applyBorder="1" applyAlignment="1">
      <alignment horizontal="left" wrapText="1"/>
    </xf>
    <xf numFmtId="164" fontId="3" fillId="2" borderId="1" xfId="2" applyNumberFormat="1" applyFont="1" applyFill="1" applyBorder="1" applyAlignment="1">
      <alignment horizontal="center" wrapText="1"/>
    </xf>
    <xf numFmtId="164" fontId="3" fillId="2" borderId="0" xfId="2" applyNumberFormat="1" applyFont="1" applyFill="1" applyBorder="1" applyAlignment="1">
      <alignment horizontal="left" vertical="center" wrapText="1"/>
    </xf>
    <xf numFmtId="7" fontId="3" fillId="2" borderId="1" xfId="0" applyNumberFormat="1" applyFont="1" applyFill="1" applyBorder="1" applyAlignment="1">
      <alignment horizontal="center" vertical="center"/>
    </xf>
    <xf numFmtId="164" fontId="3" fillId="2" borderId="1" xfId="2" applyNumberFormat="1" applyFont="1" applyFill="1" applyBorder="1" applyAlignment="1">
      <alignment wrapText="1"/>
    </xf>
    <xf numFmtId="165" fontId="3" fillId="2" borderId="1" xfId="1" applyNumberFormat="1" applyFont="1" applyFill="1" applyBorder="1"/>
    <xf numFmtId="43" fontId="3" fillId="2" borderId="0" xfId="1" applyFont="1" applyFill="1" applyBorder="1" applyAlignment="1">
      <alignment horizontal="left" vertical="center" wrapText="1"/>
    </xf>
    <xf numFmtId="165" fontId="3" fillId="2" borderId="0" xfId="0" applyNumberFormat="1" applyFont="1" applyFill="1" applyAlignment="1">
      <alignment wrapText="1"/>
    </xf>
    <xf numFmtId="7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right" vertical="center"/>
    </xf>
    <xf numFmtId="165" fontId="12" fillId="2" borderId="1" xfId="0" applyNumberFormat="1" applyFont="1" applyFill="1" applyBorder="1" applyAlignment="1">
      <alignment horizontal="center" vertical="top" readingOrder="1"/>
    </xf>
    <xf numFmtId="165" fontId="12" fillId="2" borderId="2" xfId="0" applyNumberFormat="1" applyFont="1" applyFill="1" applyBorder="1" applyAlignment="1">
      <alignment horizontal="center" vertical="top" readingOrder="1"/>
    </xf>
    <xf numFmtId="167" fontId="3" fillId="2" borderId="0" xfId="1" applyNumberFormat="1" applyFont="1" applyFill="1" applyAlignment="1">
      <alignment horizontal="center"/>
    </xf>
    <xf numFmtId="168" fontId="3" fillId="2" borderId="0" xfId="0" applyNumberFormat="1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10" fontId="3" fillId="2" borderId="0" xfId="3" applyNumberFormat="1" applyFont="1" applyFill="1" applyBorder="1" applyAlignment="1">
      <alignment horizontal="center" wrapText="1"/>
    </xf>
    <xf numFmtId="165" fontId="2" fillId="2" borderId="0" xfId="2" applyNumberFormat="1" applyFont="1" applyFill="1" applyBorder="1" applyAlignment="1">
      <alignment horizontal="center"/>
    </xf>
    <xf numFmtId="165" fontId="2" fillId="2" borderId="0" xfId="0" applyNumberFormat="1" applyFont="1" applyFill="1" applyBorder="1" applyAlignment="1">
      <alignment horizontal="center"/>
    </xf>
    <xf numFmtId="165" fontId="3" fillId="7" borderId="0" xfId="2" applyNumberFormat="1" applyFont="1" applyFill="1" applyBorder="1" applyAlignment="1">
      <alignment horizontal="center" vertical="center"/>
    </xf>
    <xf numFmtId="165" fontId="3" fillId="7" borderId="0" xfId="0" applyNumberFormat="1" applyFont="1" applyFill="1" applyBorder="1" applyAlignment="1">
      <alignment horizontal="center" vertical="center"/>
    </xf>
    <xf numFmtId="165" fontId="2" fillId="2" borderId="0" xfId="2" applyNumberFormat="1" applyFont="1" applyFill="1" applyBorder="1" applyAlignment="1">
      <alignment horizontal="center" vertical="center"/>
    </xf>
    <xf numFmtId="165" fontId="2" fillId="7" borderId="0" xfId="2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 applyAlignment="1">
      <alignment horizontal="center" vertical="center"/>
    </xf>
    <xf numFmtId="165" fontId="3" fillId="8" borderId="0" xfId="2" applyNumberFormat="1" applyFont="1" applyFill="1" applyBorder="1" applyAlignment="1">
      <alignment horizontal="center" vertical="center"/>
    </xf>
    <xf numFmtId="165" fontId="3" fillId="7" borderId="0" xfId="1" applyNumberFormat="1" applyFont="1" applyFill="1" applyBorder="1" applyAlignment="1">
      <alignment horizontal="center" vertical="center"/>
    </xf>
    <xf numFmtId="0" fontId="2" fillId="9" borderId="0" xfId="0" applyFont="1" applyFill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165" fontId="3" fillId="9" borderId="1" xfId="2" applyNumberFormat="1" applyFont="1" applyFill="1" applyBorder="1" applyAlignment="1">
      <alignment horizontal="center" vertical="center"/>
    </xf>
    <xf numFmtId="165" fontId="2" fillId="9" borderId="1" xfId="2" applyNumberFormat="1" applyFont="1" applyFill="1" applyBorder="1" applyAlignment="1">
      <alignment horizontal="center" vertical="center"/>
    </xf>
    <xf numFmtId="165" fontId="2" fillId="9" borderId="0" xfId="2" applyNumberFormat="1" applyFont="1" applyFill="1" applyBorder="1" applyAlignment="1">
      <alignment horizontal="center" vertical="center"/>
    </xf>
    <xf numFmtId="165" fontId="3" fillId="9" borderId="0" xfId="3" applyNumberFormat="1" applyFont="1" applyFill="1" applyBorder="1" applyAlignment="1">
      <alignment vertical="center"/>
    </xf>
    <xf numFmtId="0" fontId="0" fillId="10" borderId="0" xfId="0" applyFill="1"/>
    <xf numFmtId="43" fontId="2" fillId="10" borderId="0" xfId="1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165" fontId="3" fillId="10" borderId="1" xfId="2" applyNumberFormat="1" applyFont="1" applyFill="1" applyBorder="1" applyAlignment="1">
      <alignment horizontal="center" vertical="center"/>
    </xf>
    <xf numFmtId="165" fontId="2" fillId="10" borderId="1" xfId="2" applyNumberFormat="1" applyFont="1" applyFill="1" applyBorder="1" applyAlignment="1">
      <alignment horizontal="center" vertical="center"/>
    </xf>
    <xf numFmtId="165" fontId="2" fillId="10" borderId="0" xfId="2" applyNumberFormat="1" applyFont="1" applyFill="1" applyBorder="1" applyAlignment="1">
      <alignment horizontal="center" vertical="center"/>
    </xf>
    <xf numFmtId="165" fontId="3" fillId="10" borderId="0" xfId="3" applyNumberFormat="1" applyFont="1" applyFill="1" applyBorder="1" applyAlignment="1">
      <alignment vertical="center"/>
    </xf>
    <xf numFmtId="166" fontId="3" fillId="10" borderId="0" xfId="3" applyNumberFormat="1" applyFont="1" applyFill="1" applyBorder="1" applyAlignment="1">
      <alignment vertical="center"/>
    </xf>
    <xf numFmtId="0" fontId="3" fillId="10" borderId="0" xfId="0" applyFont="1" applyFill="1" applyAlignment="1">
      <alignment vertical="center"/>
    </xf>
    <xf numFmtId="164" fontId="3" fillId="10" borderId="0" xfId="2" applyNumberFormat="1" applyFont="1" applyFill="1" applyBorder="1" applyAlignment="1">
      <alignment vertical="center"/>
    </xf>
    <xf numFmtId="43" fontId="3" fillId="10" borderId="0" xfId="1" applyFont="1" applyFill="1" applyBorder="1" applyAlignment="1">
      <alignment vertical="center"/>
    </xf>
    <xf numFmtId="0" fontId="2" fillId="4" borderId="0" xfId="0" applyFont="1" applyFill="1" applyBorder="1" applyAlignment="1">
      <alignment horizontal="center"/>
    </xf>
    <xf numFmtId="10" fontId="3" fillId="2" borderId="0" xfId="3" applyNumberFormat="1" applyFont="1" applyFill="1" applyBorder="1" applyAlignment="1">
      <alignment wrapText="1"/>
    </xf>
    <xf numFmtId="165" fontId="9" fillId="2" borderId="0" xfId="4" applyNumberFormat="1" applyFont="1" applyFill="1" applyBorder="1" applyAlignment="1">
      <alignment vertical="center"/>
    </xf>
    <xf numFmtId="165" fontId="3" fillId="7" borderId="0" xfId="1" applyNumberFormat="1" applyFont="1" applyFill="1" applyBorder="1" applyAlignment="1">
      <alignment vertical="center"/>
    </xf>
    <xf numFmtId="165" fontId="3" fillId="7" borderId="0" xfId="3" applyNumberFormat="1" applyFont="1" applyFill="1" applyBorder="1" applyAlignment="1">
      <alignment vertical="center"/>
    </xf>
  </cellXfs>
  <cellStyles count="5">
    <cellStyle name="Comma" xfId="1" builtinId="3"/>
    <cellStyle name="Currency" xfId="2" builtinId="4"/>
    <cellStyle name="Normal" xfId="0" builtinId="0"/>
    <cellStyle name="Normal 25 2" xfId="4" xr:uid="{00000000-0005-0000-0000-000003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8"/>
  <sheetViews>
    <sheetView tabSelected="1" topLeftCell="C42" zoomScale="90" zoomScaleNormal="90" workbookViewId="0">
      <selection activeCell="N46" sqref="N46"/>
    </sheetView>
  </sheetViews>
  <sheetFormatPr defaultRowHeight="12" x14ac:dyDescent="0.2"/>
  <cols>
    <col min="1" max="1" width="29.5703125" style="9" customWidth="1"/>
    <col min="2" max="2" width="49" style="2" bestFit="1" customWidth="1"/>
    <col min="3" max="3" width="11.42578125" style="3" bestFit="1" customWidth="1"/>
    <col min="4" max="4" width="9.85546875" style="4" bestFit="1" customWidth="1"/>
    <col min="5" max="5" width="9.85546875" style="3" bestFit="1" customWidth="1"/>
    <col min="6" max="6" width="10.85546875" style="3" bestFit="1" customWidth="1"/>
    <col min="7" max="8" width="9.85546875" style="3" bestFit="1" customWidth="1"/>
    <col min="9" max="9" width="11.85546875" style="3" bestFit="1" customWidth="1"/>
    <col min="10" max="10" width="11.85546875" style="3" customWidth="1"/>
    <col min="11" max="11" width="2.140625" style="3" customWidth="1"/>
    <col min="12" max="12" width="8.42578125" style="3" bestFit="1" customWidth="1"/>
    <col min="13" max="13" width="9.85546875" style="4" bestFit="1" customWidth="1"/>
    <col min="14" max="14" width="9.85546875" style="3" bestFit="1" customWidth="1"/>
    <col min="15" max="15" width="10.85546875" style="3" bestFit="1" customWidth="1"/>
    <col min="16" max="16" width="9.85546875" style="3" bestFit="1" customWidth="1"/>
    <col min="17" max="17" width="8.42578125" style="3" bestFit="1" customWidth="1"/>
    <col min="18" max="18" width="10.85546875" style="3" bestFit="1" customWidth="1"/>
    <col min="19" max="19" width="10.85546875" style="3" customWidth="1"/>
    <col min="20" max="20" width="11" style="3" bestFit="1" customWidth="1"/>
    <col min="21" max="21" width="12" style="6" bestFit="1" customWidth="1"/>
    <col min="22" max="22" width="12.42578125" style="6" customWidth="1"/>
    <col min="23" max="23" width="3.85546875" style="6" customWidth="1"/>
    <col min="24" max="24" width="14.28515625" style="6" customWidth="1"/>
    <col min="25" max="25" width="13.28515625" style="4" customWidth="1"/>
    <col min="26" max="26" width="13.85546875" style="4" customWidth="1"/>
    <col min="27" max="27" width="16.7109375" style="6" customWidth="1"/>
    <col min="28" max="28" width="12.85546875" style="6" customWidth="1"/>
    <col min="29" max="29" width="14.85546875" style="6" customWidth="1"/>
    <col min="30" max="30" width="13.5703125" style="4" bestFit="1" customWidth="1"/>
    <col min="31" max="31" width="15.7109375" style="8" customWidth="1"/>
    <col min="32" max="32" width="16" style="4" customWidth="1"/>
    <col min="33" max="33" width="15.140625" style="6" customWidth="1"/>
    <col min="34" max="34" width="17.7109375" style="6" customWidth="1"/>
    <col min="35" max="35" width="16.140625" style="6" customWidth="1"/>
    <col min="36" max="36" width="17.7109375" style="6" customWidth="1"/>
    <col min="37" max="37" width="11.5703125" style="6" customWidth="1"/>
    <col min="38" max="16384" width="9.140625" style="6"/>
  </cols>
  <sheetData>
    <row r="1" spans="1:34" x14ac:dyDescent="0.2">
      <c r="A1" s="1" t="s">
        <v>0</v>
      </c>
      <c r="I1" s="5"/>
      <c r="J1" s="5"/>
      <c r="V1" s="7"/>
      <c r="AB1" s="7"/>
    </row>
    <row r="2" spans="1:34" x14ac:dyDescent="0.2">
      <c r="A2" s="9" t="s">
        <v>1</v>
      </c>
      <c r="B2" s="10"/>
      <c r="C2" s="10"/>
      <c r="D2" s="3"/>
      <c r="I2" s="11"/>
      <c r="J2" s="11"/>
      <c r="K2" s="6"/>
      <c r="L2" s="4"/>
      <c r="M2" s="6"/>
      <c r="N2" s="4"/>
      <c r="O2" s="4"/>
      <c r="P2" s="6"/>
      <c r="Q2" s="6"/>
      <c r="R2" s="6"/>
      <c r="S2" s="6"/>
      <c r="T2" s="4"/>
      <c r="U2" s="8"/>
      <c r="V2" s="4"/>
      <c r="Y2" s="6"/>
      <c r="Z2" s="6"/>
      <c r="AD2" s="6"/>
      <c r="AE2" s="6"/>
      <c r="AF2" s="6"/>
    </row>
    <row r="3" spans="1:34" x14ac:dyDescent="0.2">
      <c r="C3" s="144" t="s">
        <v>2</v>
      </c>
      <c r="D3" s="144"/>
      <c r="E3" s="144"/>
      <c r="F3" s="144"/>
      <c r="G3" s="144"/>
      <c r="H3" s="144"/>
      <c r="I3" s="144"/>
      <c r="J3" s="147"/>
      <c r="K3" s="4"/>
      <c r="L3" s="145" t="s">
        <v>3</v>
      </c>
      <c r="M3" s="145"/>
      <c r="N3" s="145"/>
      <c r="O3" s="145"/>
      <c r="P3" s="145"/>
      <c r="Q3" s="145"/>
      <c r="R3" s="145"/>
      <c r="S3" s="175"/>
      <c r="T3" s="4"/>
      <c r="U3" s="7"/>
      <c r="X3" s="4"/>
      <c r="Y3" s="6"/>
      <c r="AA3" s="4"/>
    </row>
    <row r="4" spans="1:34" x14ac:dyDescent="0.2">
      <c r="B4" s="14" t="s">
        <v>4</v>
      </c>
      <c r="C4" s="12">
        <v>2010</v>
      </c>
      <c r="D4" s="12">
        <v>2011</v>
      </c>
      <c r="E4" s="12">
        <v>2012</v>
      </c>
      <c r="F4" s="12">
        <v>2013</v>
      </c>
      <c r="G4" s="12">
        <v>2014</v>
      </c>
      <c r="H4" s="12">
        <v>2015</v>
      </c>
      <c r="I4" s="12" t="s">
        <v>5</v>
      </c>
      <c r="J4" s="147"/>
      <c r="K4" s="6"/>
      <c r="L4" s="13">
        <v>2010</v>
      </c>
      <c r="M4" s="13">
        <v>2011</v>
      </c>
      <c r="N4" s="13">
        <v>2012</v>
      </c>
      <c r="O4" s="13">
        <v>2013</v>
      </c>
      <c r="P4" s="13">
        <v>2014</v>
      </c>
      <c r="Q4" s="13">
        <v>2015</v>
      </c>
      <c r="R4" s="13" t="s">
        <v>5</v>
      </c>
      <c r="S4" s="175"/>
      <c r="T4" s="6"/>
      <c r="U4" s="15"/>
      <c r="W4" s="7"/>
      <c r="Y4" s="6"/>
      <c r="Z4" s="6"/>
      <c r="AA4" s="16"/>
      <c r="AB4" s="4"/>
      <c r="AD4" s="6"/>
      <c r="AE4" s="6"/>
      <c r="AG4" s="8"/>
      <c r="AH4" s="4"/>
    </row>
    <row r="5" spans="1:34" x14ac:dyDescent="0.2">
      <c r="A5" s="1" t="s">
        <v>6</v>
      </c>
      <c r="B5" s="17"/>
      <c r="C5" s="17"/>
      <c r="D5" s="17"/>
      <c r="E5" s="17"/>
      <c r="F5" s="17"/>
      <c r="G5" s="17"/>
      <c r="H5" s="17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5"/>
      <c r="W5" s="7"/>
      <c r="Y5" s="6"/>
      <c r="Z5" s="6"/>
      <c r="AA5" s="16"/>
      <c r="AB5" s="4"/>
      <c r="AD5" s="6"/>
      <c r="AE5" s="6"/>
      <c r="AG5" s="8"/>
      <c r="AH5" s="4"/>
    </row>
    <row r="6" spans="1:34" x14ac:dyDescent="0.2">
      <c r="A6" s="6"/>
      <c r="B6" s="18" t="s">
        <v>7</v>
      </c>
      <c r="C6" s="19"/>
      <c r="D6" s="19"/>
      <c r="E6" s="19"/>
      <c r="F6" s="19"/>
      <c r="G6" s="19"/>
      <c r="H6" s="19"/>
      <c r="I6" s="20">
        <v>4.2414012738853504E-4</v>
      </c>
      <c r="J6" s="148"/>
      <c r="K6" s="6"/>
      <c r="L6" s="21"/>
      <c r="M6" s="21"/>
      <c r="N6" s="21"/>
      <c r="O6" s="21"/>
      <c r="P6" s="21"/>
      <c r="Q6" s="21"/>
      <c r="R6" s="22">
        <v>7.9935344336937955E-2</v>
      </c>
      <c r="S6" s="176"/>
      <c r="T6" s="6"/>
      <c r="U6" s="15"/>
      <c r="W6" s="7"/>
      <c r="Y6" s="6"/>
      <c r="Z6" s="6"/>
      <c r="AA6" s="16"/>
      <c r="AB6" s="4"/>
      <c r="AD6" s="6"/>
      <c r="AE6" s="6"/>
      <c r="AG6" s="8"/>
      <c r="AH6" s="4"/>
    </row>
    <row r="7" spans="1:34" x14ac:dyDescent="0.2">
      <c r="A7" s="6"/>
      <c r="B7" s="18" t="s">
        <v>8</v>
      </c>
      <c r="C7" s="19"/>
      <c r="D7" s="19"/>
      <c r="E7" s="19"/>
      <c r="F7" s="19"/>
      <c r="G7" s="19"/>
      <c r="H7" s="19"/>
      <c r="I7" s="20">
        <v>0.17982965423111921</v>
      </c>
      <c r="J7" s="148"/>
      <c r="K7" s="6"/>
      <c r="L7" s="21"/>
      <c r="M7" s="21"/>
      <c r="N7" s="21"/>
      <c r="O7" s="21"/>
      <c r="P7" s="21"/>
      <c r="Q7" s="21"/>
      <c r="R7" s="22">
        <v>0.2379618668184405</v>
      </c>
      <c r="S7" s="176"/>
      <c r="T7" s="6"/>
      <c r="U7" s="15"/>
      <c r="W7" s="7"/>
      <c r="Y7" s="6"/>
      <c r="Z7" s="6"/>
      <c r="AA7" s="16"/>
      <c r="AB7" s="4"/>
      <c r="AD7" s="6"/>
      <c r="AE7" s="6"/>
      <c r="AG7" s="8"/>
      <c r="AH7" s="4"/>
    </row>
    <row r="8" spans="1:34" x14ac:dyDescent="0.2">
      <c r="A8" s="6"/>
      <c r="B8" s="18" t="s">
        <v>9</v>
      </c>
      <c r="C8" s="19"/>
      <c r="D8" s="19"/>
      <c r="E8" s="19"/>
      <c r="F8" s="19"/>
      <c r="G8" s="19"/>
      <c r="H8" s="19"/>
      <c r="I8" s="20">
        <v>0.81974620564149225</v>
      </c>
      <c r="J8" s="148"/>
      <c r="K8" s="6"/>
      <c r="L8" s="21"/>
      <c r="M8" s="21"/>
      <c r="N8" s="21"/>
      <c r="O8" s="21"/>
      <c r="P8" s="21"/>
      <c r="Q8" s="21"/>
      <c r="R8" s="22">
        <v>0.6818536937962435</v>
      </c>
      <c r="S8" s="176"/>
      <c r="T8" s="6"/>
      <c r="U8" s="15"/>
      <c r="W8" s="7"/>
      <c r="Y8" s="6"/>
      <c r="Z8" s="6"/>
      <c r="AA8" s="16"/>
      <c r="AB8" s="4"/>
      <c r="AD8" s="6"/>
      <c r="AE8" s="6"/>
      <c r="AG8" s="8"/>
      <c r="AH8" s="4"/>
    </row>
    <row r="9" spans="1:34" x14ac:dyDescent="0.2">
      <c r="A9" s="6"/>
      <c r="B9" s="18" t="s">
        <v>10</v>
      </c>
      <c r="C9" s="19"/>
      <c r="D9" s="19"/>
      <c r="E9" s="19"/>
      <c r="F9" s="19"/>
      <c r="G9" s="19"/>
      <c r="H9" s="19"/>
      <c r="I9" s="20">
        <v>0</v>
      </c>
      <c r="J9" s="148"/>
      <c r="K9" s="6"/>
      <c r="L9" s="21"/>
      <c r="M9" s="21"/>
      <c r="N9" s="21"/>
      <c r="O9" s="21"/>
      <c r="P9" s="21"/>
      <c r="Q9" s="21"/>
      <c r="R9" s="22">
        <v>6.8298235628912922E-5</v>
      </c>
      <c r="S9" s="176"/>
      <c r="T9" s="6"/>
      <c r="U9" s="15"/>
      <c r="W9" s="7"/>
      <c r="Y9" s="6"/>
      <c r="Z9" s="6"/>
      <c r="AA9" s="16"/>
      <c r="AB9" s="4"/>
      <c r="AD9" s="6"/>
      <c r="AE9" s="6"/>
      <c r="AG9" s="8"/>
      <c r="AH9" s="4"/>
    </row>
    <row r="10" spans="1:34" x14ac:dyDescent="0.2">
      <c r="A10" s="6"/>
      <c r="B10" s="18" t="s">
        <v>11</v>
      </c>
      <c r="C10" s="19"/>
      <c r="D10" s="19"/>
      <c r="E10" s="19"/>
      <c r="F10" s="19"/>
      <c r="G10" s="19"/>
      <c r="H10" s="19"/>
      <c r="I10" s="20">
        <v>0</v>
      </c>
      <c r="J10" s="148"/>
      <c r="K10" s="6"/>
      <c r="L10" s="21"/>
      <c r="M10" s="21"/>
      <c r="N10" s="21"/>
      <c r="O10" s="21"/>
      <c r="P10" s="21"/>
      <c r="Q10" s="21"/>
      <c r="R10" s="22">
        <v>1.6372225384177577E-4</v>
      </c>
      <c r="S10" s="176"/>
      <c r="T10" s="6"/>
      <c r="U10" s="15"/>
      <c r="W10" s="7"/>
      <c r="Y10" s="6"/>
      <c r="Z10" s="6"/>
      <c r="AA10" s="16"/>
      <c r="AB10" s="4"/>
      <c r="AD10" s="6"/>
      <c r="AE10" s="6"/>
      <c r="AG10" s="8"/>
      <c r="AH10" s="4"/>
    </row>
    <row r="11" spans="1:34" x14ac:dyDescent="0.2">
      <c r="K11" s="6"/>
    </row>
    <row r="12" spans="1:34" s="28" customFormat="1" x14ac:dyDescent="0.2">
      <c r="A12" s="23" t="s">
        <v>12</v>
      </c>
      <c r="B12" s="24"/>
      <c r="C12" s="25">
        <f>C13+C14</f>
        <v>724961.11415500659</v>
      </c>
      <c r="D12" s="25">
        <f>D13+D14</f>
        <v>1798948.9927895158</v>
      </c>
      <c r="E12" s="25">
        <f>E13+E14</f>
        <v>9168387.7851253618</v>
      </c>
      <c r="F12" s="25">
        <f>F13+F14</f>
        <v>43199134.57396692</v>
      </c>
      <c r="G12" s="25">
        <f t="shared" ref="G12:I12" si="0">G13+G14</f>
        <v>5001530.6323912609</v>
      </c>
      <c r="H12" s="25">
        <f t="shared" si="0"/>
        <v>2284015.7461280604</v>
      </c>
      <c r="I12" s="25">
        <f t="shared" si="0"/>
        <v>63320318.844556123</v>
      </c>
      <c r="J12" s="37"/>
      <c r="K12" s="26"/>
      <c r="L12" s="25">
        <f>L13+L14</f>
        <v>707829.46132762521</v>
      </c>
      <c r="M12" s="25">
        <f>M13+M14</f>
        <v>1351665.5043390996</v>
      </c>
      <c r="N12" s="25">
        <f>N13+N14</f>
        <v>5359473.0908365287</v>
      </c>
      <c r="O12" s="25">
        <f t="shared" ref="O12:R12" si="1">O13+O14</f>
        <v>34904819.531393372</v>
      </c>
      <c r="P12" s="25">
        <f t="shared" si="1"/>
        <v>2546495.2698178221</v>
      </c>
      <c r="Q12" s="25">
        <f t="shared" si="1"/>
        <v>113675.95744680852</v>
      </c>
      <c r="R12" s="25">
        <f t="shared" si="1"/>
        <v>58879236.615161255</v>
      </c>
      <c r="S12" s="37"/>
      <c r="T12" s="27"/>
      <c r="W12" s="29"/>
      <c r="Y12" s="29"/>
      <c r="Z12" s="29"/>
      <c r="AD12" s="29"/>
      <c r="AE12" s="30"/>
      <c r="AF12" s="29"/>
    </row>
    <row r="13" spans="1:34" x14ac:dyDescent="0.2">
      <c r="A13" s="31" t="s">
        <v>13</v>
      </c>
      <c r="B13" s="10"/>
      <c r="C13" s="32"/>
      <c r="D13" s="32"/>
      <c r="E13" s="32"/>
      <c r="F13" s="32"/>
      <c r="G13" s="32"/>
      <c r="H13" s="32"/>
      <c r="I13" s="32">
        <f>SUM(I17,I20,I23,I26)</f>
        <v>1143340</v>
      </c>
      <c r="J13" s="149"/>
      <c r="K13" s="33"/>
      <c r="L13" s="32"/>
      <c r="M13" s="32"/>
      <c r="N13" s="32"/>
      <c r="O13" s="32"/>
      <c r="P13" s="32"/>
      <c r="Q13" s="32"/>
      <c r="R13" s="32">
        <f>SUM(R17,R20,R23,R26)</f>
        <v>13895277.800000001</v>
      </c>
      <c r="S13" s="149"/>
      <c r="T13" s="34"/>
      <c r="W13" s="35"/>
      <c r="Y13" s="35"/>
      <c r="Z13" s="35"/>
      <c r="AD13" s="35"/>
      <c r="AE13" s="36"/>
      <c r="AF13" s="35"/>
    </row>
    <row r="14" spans="1:34" x14ac:dyDescent="0.2">
      <c r="A14" s="31" t="s">
        <v>14</v>
      </c>
      <c r="B14" s="10"/>
      <c r="C14" s="32">
        <f t="shared" ref="C14:I14" si="2">SUM(C31,C35:C37,C41,C45,C49:C52,C57:C59,C63,C67,C72:C76,C85)</f>
        <v>724961.11415500659</v>
      </c>
      <c r="D14" s="32">
        <f t="shared" si="2"/>
        <v>1798948.9927895158</v>
      </c>
      <c r="E14" s="32">
        <f t="shared" si="2"/>
        <v>9168387.7851253618</v>
      </c>
      <c r="F14" s="32">
        <f t="shared" si="2"/>
        <v>43199134.57396692</v>
      </c>
      <c r="G14" s="32">
        <f t="shared" si="2"/>
        <v>5001530.6323912609</v>
      </c>
      <c r="H14" s="32">
        <f t="shared" si="2"/>
        <v>2284015.7461280604</v>
      </c>
      <c r="I14" s="32">
        <f t="shared" si="2"/>
        <v>62176978.844556123</v>
      </c>
      <c r="J14" s="149"/>
      <c r="K14" s="33"/>
      <c r="L14" s="32">
        <f t="shared" ref="L14:R14" si="3">SUM(L31,L35:L37,L41,L45,L49:L52,L57:L59,L63,L67,L72:L76,L85)</f>
        <v>707829.46132762521</v>
      </c>
      <c r="M14" s="32">
        <f t="shared" si="3"/>
        <v>1351665.5043390996</v>
      </c>
      <c r="N14" s="32">
        <f t="shared" si="3"/>
        <v>5359473.0908365287</v>
      </c>
      <c r="O14" s="32">
        <f t="shared" si="3"/>
        <v>34904819.531393372</v>
      </c>
      <c r="P14" s="32">
        <f t="shared" si="3"/>
        <v>2546495.2698178221</v>
      </c>
      <c r="Q14" s="32">
        <f t="shared" si="3"/>
        <v>113675.95744680852</v>
      </c>
      <c r="R14" s="32">
        <f t="shared" si="3"/>
        <v>44983958.815161258</v>
      </c>
      <c r="S14" s="149"/>
      <c r="T14" s="34"/>
      <c r="W14" s="35"/>
      <c r="Y14" s="35"/>
      <c r="Z14" s="35"/>
      <c r="AD14" s="35"/>
      <c r="AE14" s="36"/>
      <c r="AF14" s="35"/>
    </row>
    <row r="15" spans="1:34" s="28" customFormat="1" x14ac:dyDescent="0.2">
      <c r="A15" s="23"/>
      <c r="B15" s="24"/>
      <c r="C15" s="37"/>
      <c r="D15" s="37"/>
      <c r="E15" s="37"/>
      <c r="F15" s="37"/>
      <c r="G15" s="37"/>
      <c r="H15" s="37"/>
      <c r="I15" s="37"/>
      <c r="J15" s="37"/>
      <c r="K15" s="26"/>
      <c r="L15" s="37"/>
      <c r="M15" s="37"/>
      <c r="N15" s="37"/>
      <c r="O15" s="37"/>
      <c r="P15" s="37"/>
      <c r="Q15" s="37"/>
      <c r="R15" s="37"/>
      <c r="S15" s="37"/>
      <c r="T15" s="27"/>
      <c r="W15" s="29"/>
      <c r="Y15" s="29"/>
      <c r="Z15" s="29"/>
      <c r="AD15" s="29"/>
      <c r="AE15" s="30"/>
      <c r="AF15" s="29"/>
    </row>
    <row r="16" spans="1:34" s="42" customFormat="1" ht="12.75" x14ac:dyDescent="0.2">
      <c r="A16" s="38" t="s">
        <v>15</v>
      </c>
      <c r="B16" s="39"/>
      <c r="C16" s="40"/>
      <c r="D16" s="41"/>
      <c r="E16" s="40"/>
      <c r="F16" s="40"/>
      <c r="G16" s="40"/>
      <c r="H16" s="40"/>
      <c r="I16" s="40"/>
      <c r="J16" s="40"/>
      <c r="K16" s="40"/>
      <c r="L16" s="40"/>
      <c r="M16" s="41"/>
      <c r="N16" s="40"/>
      <c r="O16" s="40"/>
      <c r="P16" s="40"/>
      <c r="Q16" s="40"/>
      <c r="R16" s="40"/>
      <c r="S16" s="40"/>
      <c r="T16" s="40"/>
      <c r="Y16" s="41"/>
      <c r="Z16" s="41"/>
      <c r="AD16" s="41"/>
      <c r="AE16" s="43"/>
      <c r="AF16" s="41"/>
    </row>
    <row r="17" spans="1:32" x14ac:dyDescent="0.2">
      <c r="A17" s="9" t="s">
        <v>16</v>
      </c>
      <c r="B17" s="44" t="s">
        <v>17</v>
      </c>
      <c r="C17" s="45"/>
      <c r="D17" s="46"/>
      <c r="E17" s="45"/>
      <c r="F17" s="47">
        <f>F18+F19</f>
        <v>1143340</v>
      </c>
      <c r="G17" s="45"/>
      <c r="H17" s="45"/>
      <c r="I17" s="47">
        <f>I18+I19</f>
        <v>1143340</v>
      </c>
      <c r="J17" s="150"/>
      <c r="L17" s="45"/>
      <c r="M17" s="46"/>
      <c r="N17" s="45"/>
      <c r="O17" s="47">
        <f>O18+O19</f>
        <v>0</v>
      </c>
      <c r="P17" s="45"/>
      <c r="Q17" s="45"/>
      <c r="R17" s="47">
        <f>R18+R19</f>
        <v>0</v>
      </c>
      <c r="S17" s="150"/>
    </row>
    <row r="18" spans="1:32" s="9" customFormat="1" ht="15" x14ac:dyDescent="0.25">
      <c r="A18" s="48" t="s">
        <v>18</v>
      </c>
      <c r="B18" s="49" t="s">
        <v>19</v>
      </c>
      <c r="C18" s="50"/>
      <c r="D18" s="50"/>
      <c r="E18" s="50"/>
      <c r="F18" s="51">
        <v>893040</v>
      </c>
      <c r="G18" s="50"/>
      <c r="H18" s="50"/>
      <c r="I18" s="51">
        <v>893040</v>
      </c>
      <c r="J18" s="151"/>
      <c r="K18" s="52"/>
      <c r="L18" s="50"/>
      <c r="M18" s="50"/>
      <c r="N18" s="50"/>
      <c r="O18" s="51"/>
      <c r="P18" s="50"/>
      <c r="Q18" s="50"/>
      <c r="R18" s="51"/>
      <c r="S18" s="151">
        <f>+I18:I19</f>
        <v>893040</v>
      </c>
      <c r="T18">
        <v>103</v>
      </c>
      <c r="U18">
        <v>31</v>
      </c>
      <c r="V18">
        <v>34000</v>
      </c>
      <c r="W18">
        <v>333912</v>
      </c>
      <c r="X18" t="s">
        <v>202</v>
      </c>
      <c r="AB18" s="53"/>
      <c r="AC18" s="54"/>
      <c r="AD18" s="53"/>
    </row>
    <row r="19" spans="1:32" s="9" customFormat="1" ht="15" x14ac:dyDescent="0.25">
      <c r="A19" s="48" t="s">
        <v>20</v>
      </c>
      <c r="B19" s="55" t="s">
        <v>21</v>
      </c>
      <c r="C19" s="50"/>
      <c r="D19" s="50"/>
      <c r="E19" s="50"/>
      <c r="F19" s="50">
        <v>250300</v>
      </c>
      <c r="G19" s="50"/>
      <c r="H19" s="50"/>
      <c r="I19" s="50">
        <v>250300</v>
      </c>
      <c r="J19" s="152"/>
      <c r="K19" s="52"/>
      <c r="L19" s="50"/>
      <c r="M19" s="50"/>
      <c r="N19" s="50"/>
      <c r="O19" s="50"/>
      <c r="P19" s="50"/>
      <c r="Q19" s="50"/>
      <c r="R19" s="50"/>
      <c r="S19" s="151">
        <f>+I19:I20</f>
        <v>250300</v>
      </c>
      <c r="T19">
        <v>346</v>
      </c>
      <c r="U19">
        <v>31</v>
      </c>
      <c r="V19">
        <v>34000</v>
      </c>
      <c r="W19">
        <v>561300</v>
      </c>
      <c r="X19" t="s">
        <v>203</v>
      </c>
      <c r="AB19" s="53"/>
      <c r="AC19" s="54"/>
      <c r="AD19" s="53"/>
    </row>
    <row r="20" spans="1:32" x14ac:dyDescent="0.2">
      <c r="A20" s="9" t="s">
        <v>22</v>
      </c>
      <c r="B20" s="44" t="s">
        <v>23</v>
      </c>
      <c r="C20" s="45"/>
      <c r="D20" s="46"/>
      <c r="E20" s="45"/>
      <c r="F20" s="47">
        <f>F21+F22</f>
        <v>0</v>
      </c>
      <c r="G20" s="45"/>
      <c r="H20" s="45"/>
      <c r="I20" s="47">
        <f>I21+I22</f>
        <v>0</v>
      </c>
      <c r="J20" s="150"/>
      <c r="L20" s="45"/>
      <c r="M20" s="46"/>
      <c r="N20" s="45"/>
      <c r="O20" s="47">
        <f>O21+O22</f>
        <v>2609440</v>
      </c>
      <c r="P20" s="45"/>
      <c r="Q20" s="45"/>
      <c r="R20" s="47">
        <f>R21+R22</f>
        <v>2609440</v>
      </c>
      <c r="S20" s="150"/>
    </row>
    <row r="21" spans="1:32" s="9" customFormat="1" x14ac:dyDescent="0.25">
      <c r="A21" s="48" t="s">
        <v>18</v>
      </c>
      <c r="B21" s="49" t="s">
        <v>19</v>
      </c>
      <c r="C21" s="50"/>
      <c r="D21" s="50"/>
      <c r="E21" s="50"/>
      <c r="F21" s="51"/>
      <c r="G21" s="50"/>
      <c r="H21" s="50"/>
      <c r="I21" s="51"/>
      <c r="J21" s="151"/>
      <c r="K21" s="52"/>
      <c r="L21" s="50"/>
      <c r="M21" s="50"/>
      <c r="N21" s="50"/>
      <c r="O21" s="51">
        <v>2156790</v>
      </c>
      <c r="P21" s="50"/>
      <c r="Q21" s="50"/>
      <c r="R21" s="51">
        <v>2156790</v>
      </c>
      <c r="S21" s="151"/>
      <c r="T21" s="53"/>
      <c r="W21" s="53"/>
      <c r="X21" s="53"/>
      <c r="AB21" s="53"/>
      <c r="AC21" s="54"/>
      <c r="AD21" s="53"/>
    </row>
    <row r="22" spans="1:32" s="9" customFormat="1" x14ac:dyDescent="0.25">
      <c r="A22" s="48" t="s">
        <v>20</v>
      </c>
      <c r="B22" s="55" t="s">
        <v>21</v>
      </c>
      <c r="C22" s="50"/>
      <c r="D22" s="50"/>
      <c r="E22" s="50"/>
      <c r="F22" s="50"/>
      <c r="G22" s="50"/>
      <c r="H22" s="50"/>
      <c r="I22" s="50"/>
      <c r="J22" s="152"/>
      <c r="K22" s="52"/>
      <c r="L22" s="50"/>
      <c r="M22" s="50"/>
      <c r="N22" s="50"/>
      <c r="O22" s="50">
        <v>452650</v>
      </c>
      <c r="P22" s="50"/>
      <c r="Q22" s="50"/>
      <c r="R22" s="50">
        <v>452650</v>
      </c>
      <c r="S22" s="152"/>
      <c r="T22" s="53"/>
      <c r="W22" s="53"/>
      <c r="X22" s="53"/>
      <c r="AB22" s="53"/>
      <c r="AC22" s="54"/>
      <c r="AD22" s="53"/>
    </row>
    <row r="23" spans="1:32" x14ac:dyDescent="0.2">
      <c r="A23" s="9" t="s">
        <v>24</v>
      </c>
      <c r="B23" s="44" t="s">
        <v>25</v>
      </c>
      <c r="C23" s="45"/>
      <c r="D23" s="46"/>
      <c r="E23" s="45"/>
      <c r="F23" s="47">
        <f>F24+F25</f>
        <v>0</v>
      </c>
      <c r="G23" s="45"/>
      <c r="H23" s="45"/>
      <c r="I23" s="47">
        <f>I24+I25</f>
        <v>0</v>
      </c>
      <c r="J23" s="150"/>
      <c r="L23" s="45"/>
      <c r="M23" s="46"/>
      <c r="N23" s="45"/>
      <c r="O23" s="47">
        <f>O24+O25</f>
        <v>4611072.8</v>
      </c>
      <c r="P23" s="45"/>
      <c r="Q23" s="45"/>
      <c r="R23" s="47">
        <f>R24+R25</f>
        <v>4611072.8</v>
      </c>
      <c r="S23" s="150"/>
    </row>
    <row r="24" spans="1:32" s="9" customFormat="1" x14ac:dyDescent="0.25">
      <c r="A24" s="48" t="s">
        <v>18</v>
      </c>
      <c r="B24" s="49" t="s">
        <v>19</v>
      </c>
      <c r="C24" s="50"/>
      <c r="D24" s="50"/>
      <c r="E24" s="50"/>
      <c r="F24" s="51"/>
      <c r="G24" s="50"/>
      <c r="H24" s="50"/>
      <c r="I24" s="51"/>
      <c r="J24" s="151"/>
      <c r="K24" s="52"/>
      <c r="L24" s="50"/>
      <c r="M24" s="50"/>
      <c r="N24" s="50"/>
      <c r="O24" s="51">
        <v>3872572.8</v>
      </c>
      <c r="P24" s="50"/>
      <c r="Q24" s="50"/>
      <c r="R24" s="51">
        <v>3872572.8</v>
      </c>
      <c r="S24" s="151"/>
      <c r="T24" s="53"/>
      <c r="W24" s="53"/>
      <c r="X24" s="53"/>
      <c r="AB24" s="53"/>
      <c r="AC24" s="54"/>
      <c r="AD24" s="53"/>
    </row>
    <row r="25" spans="1:32" s="9" customFormat="1" x14ac:dyDescent="0.25">
      <c r="A25" s="48" t="s">
        <v>20</v>
      </c>
      <c r="B25" s="55" t="s">
        <v>21</v>
      </c>
      <c r="C25" s="50"/>
      <c r="D25" s="50"/>
      <c r="E25" s="50"/>
      <c r="F25" s="50"/>
      <c r="G25" s="50"/>
      <c r="H25" s="50"/>
      <c r="I25" s="50"/>
      <c r="J25" s="152"/>
      <c r="K25" s="52"/>
      <c r="L25" s="50"/>
      <c r="M25" s="50"/>
      <c r="N25" s="50"/>
      <c r="O25" s="50">
        <v>738500</v>
      </c>
      <c r="P25" s="50"/>
      <c r="Q25" s="50"/>
      <c r="R25" s="50">
        <v>738500</v>
      </c>
      <c r="S25" s="152"/>
      <c r="T25" s="53"/>
      <c r="W25" s="53"/>
      <c r="X25" s="53"/>
      <c r="AB25" s="53"/>
      <c r="AC25" s="54"/>
      <c r="AD25" s="53"/>
    </row>
    <row r="26" spans="1:32" x14ac:dyDescent="0.2">
      <c r="A26" s="9" t="s">
        <v>26</v>
      </c>
      <c r="B26" s="44" t="s">
        <v>27</v>
      </c>
      <c r="C26" s="45"/>
      <c r="D26" s="46"/>
      <c r="E26" s="45"/>
      <c r="F26" s="47">
        <f>F27+F28</f>
        <v>0</v>
      </c>
      <c r="G26" s="45"/>
      <c r="H26" s="45"/>
      <c r="I26" s="47">
        <f>I27+I28</f>
        <v>0</v>
      </c>
      <c r="J26" s="150"/>
      <c r="L26" s="45"/>
      <c r="M26" s="46"/>
      <c r="N26" s="45"/>
      <c r="O26" s="47">
        <f>O27+O28</f>
        <v>6674765</v>
      </c>
      <c r="P26" s="45"/>
      <c r="Q26" s="45"/>
      <c r="R26" s="47">
        <f>R27+R28</f>
        <v>6674765</v>
      </c>
      <c r="S26" s="150"/>
    </row>
    <row r="27" spans="1:32" s="9" customFormat="1" x14ac:dyDescent="0.25">
      <c r="A27" s="48" t="s">
        <v>18</v>
      </c>
      <c r="B27" s="49" t="s">
        <v>19</v>
      </c>
      <c r="C27" s="50"/>
      <c r="D27" s="50"/>
      <c r="E27" s="50"/>
      <c r="F27" s="50"/>
      <c r="G27" s="50"/>
      <c r="H27" s="50"/>
      <c r="I27" s="51"/>
      <c r="J27" s="151"/>
      <c r="K27" s="52"/>
      <c r="L27" s="50"/>
      <c r="M27" s="50"/>
      <c r="N27" s="50"/>
      <c r="O27" s="51">
        <v>5331015</v>
      </c>
      <c r="P27" s="50"/>
      <c r="Q27" s="50"/>
      <c r="R27" s="51">
        <v>5331015</v>
      </c>
      <c r="S27" s="151"/>
      <c r="T27" s="53"/>
      <c r="W27" s="53"/>
      <c r="X27" s="53"/>
      <c r="AB27" s="53"/>
      <c r="AC27" s="54"/>
      <c r="AD27" s="53"/>
    </row>
    <row r="28" spans="1:32" s="9" customFormat="1" x14ac:dyDescent="0.25">
      <c r="A28" s="48" t="s">
        <v>20</v>
      </c>
      <c r="B28" s="55" t="s">
        <v>21</v>
      </c>
      <c r="C28" s="50"/>
      <c r="D28" s="50"/>
      <c r="E28" s="50"/>
      <c r="F28" s="50"/>
      <c r="G28" s="50"/>
      <c r="H28" s="50"/>
      <c r="I28" s="50"/>
      <c r="J28" s="152"/>
      <c r="K28" s="52"/>
      <c r="L28" s="50"/>
      <c r="M28" s="50"/>
      <c r="N28" s="50"/>
      <c r="O28" s="50">
        <v>1343750</v>
      </c>
      <c r="P28" s="50"/>
      <c r="Q28" s="50"/>
      <c r="R28" s="50">
        <v>1343750</v>
      </c>
      <c r="S28" s="152"/>
      <c r="T28" s="53"/>
      <c r="W28" s="53"/>
      <c r="X28" s="53"/>
      <c r="AB28" s="53"/>
      <c r="AC28" s="54"/>
      <c r="AD28" s="53"/>
    </row>
    <row r="30" spans="1:32" s="42" customFormat="1" ht="12.75" x14ac:dyDescent="0.2">
      <c r="A30" s="38" t="s">
        <v>28</v>
      </c>
      <c r="B30" s="39"/>
      <c r="C30" s="40"/>
      <c r="D30" s="41"/>
      <c r="E30" s="40"/>
      <c r="F30" s="40"/>
      <c r="G30" s="40"/>
      <c r="H30" s="40"/>
      <c r="I30" s="40"/>
      <c r="J30" s="40"/>
      <c r="K30" s="40"/>
      <c r="L30" s="40"/>
      <c r="M30" s="41"/>
      <c r="N30" s="40"/>
      <c r="O30" s="40"/>
      <c r="P30" s="40"/>
      <c r="Q30" s="40"/>
      <c r="R30" s="40"/>
      <c r="S30" s="40"/>
      <c r="T30" s="40"/>
      <c r="Y30" s="41"/>
      <c r="Z30" s="41"/>
      <c r="AD30" s="41"/>
      <c r="AE30" s="43"/>
      <c r="AF30" s="41"/>
    </row>
    <row r="31" spans="1:32" s="9" customFormat="1" ht="15" x14ac:dyDescent="0.25">
      <c r="A31" s="56" t="s">
        <v>29</v>
      </c>
      <c r="B31" s="57" t="s">
        <v>30</v>
      </c>
      <c r="C31" s="58">
        <v>0</v>
      </c>
      <c r="D31" s="58">
        <v>0</v>
      </c>
      <c r="E31" s="58">
        <v>447528.17796885164</v>
      </c>
      <c r="F31" s="58">
        <v>940951.82203114836</v>
      </c>
      <c r="G31" s="58">
        <v>0</v>
      </c>
      <c r="H31" s="58">
        <v>0</v>
      </c>
      <c r="I31" s="59">
        <f>SUM(C31:H31)</f>
        <v>1388480</v>
      </c>
      <c r="J31" s="153"/>
      <c r="K31" s="60"/>
      <c r="L31" s="58">
        <v>0</v>
      </c>
      <c r="M31" s="58">
        <v>0</v>
      </c>
      <c r="N31" s="58">
        <v>107274.54902662123</v>
      </c>
      <c r="O31" s="58">
        <v>225550.45097337876</v>
      </c>
      <c r="P31" s="58">
        <v>0</v>
      </c>
      <c r="Q31" s="58">
        <v>0</v>
      </c>
      <c r="R31" s="59">
        <f>SUM(L31:Q31)</f>
        <v>332825</v>
      </c>
      <c r="S31" s="151">
        <f>+I31:I32</f>
        <v>1388480</v>
      </c>
      <c r="T31">
        <v>295</v>
      </c>
      <c r="U31">
        <v>31</v>
      </c>
      <c r="V31">
        <v>34000</v>
      </c>
      <c r="W31">
        <v>484000</v>
      </c>
      <c r="X31" t="s">
        <v>174</v>
      </c>
    </row>
    <row r="32" spans="1:32" s="9" customFormat="1" x14ac:dyDescent="0.25">
      <c r="A32" s="48" t="s">
        <v>31</v>
      </c>
      <c r="B32" s="49" t="s">
        <v>32</v>
      </c>
      <c r="C32" s="50">
        <v>0</v>
      </c>
      <c r="D32" s="50">
        <v>0</v>
      </c>
      <c r="E32" s="50">
        <f>(E31/I31)*I32</f>
        <v>125704.29721048409</v>
      </c>
      <c r="F32" s="50">
        <f>(F31/I31)*I32</f>
        <v>264299.97778951586</v>
      </c>
      <c r="G32" s="50">
        <v>0</v>
      </c>
      <c r="H32" s="50">
        <v>0</v>
      </c>
      <c r="I32" s="51">
        <v>390004.27499999997</v>
      </c>
      <c r="J32" s="151"/>
      <c r="K32" s="52"/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1">
        <v>0</v>
      </c>
      <c r="S32" s="151"/>
      <c r="T32" s="53"/>
      <c r="W32" s="53"/>
      <c r="X32" s="53"/>
      <c r="AB32" s="53"/>
      <c r="AC32" s="54"/>
      <c r="AD32" s="53"/>
    </row>
    <row r="33" spans="1:30" s="9" customFormat="1" x14ac:dyDescent="0.25">
      <c r="A33" s="48" t="s">
        <v>33</v>
      </c>
      <c r="B33" s="49" t="s">
        <v>34</v>
      </c>
      <c r="C33" s="50">
        <v>0</v>
      </c>
      <c r="D33" s="50">
        <v>0</v>
      </c>
      <c r="E33" s="50">
        <f>(E31/I31)*I33</f>
        <v>321823.86464260862</v>
      </c>
      <c r="F33" s="50">
        <f>(F31/I31)*I33</f>
        <v>676651.81035739125</v>
      </c>
      <c r="G33" s="50">
        <v>0</v>
      </c>
      <c r="H33" s="50">
        <v>0</v>
      </c>
      <c r="I33" s="50">
        <v>998475.67499999993</v>
      </c>
      <c r="J33" s="152"/>
      <c r="K33" s="52"/>
      <c r="L33" s="50">
        <v>0</v>
      </c>
      <c r="M33" s="50">
        <v>0</v>
      </c>
      <c r="N33" s="50">
        <v>107274.54902662123</v>
      </c>
      <c r="O33" s="50">
        <v>225550.45097337876</v>
      </c>
      <c r="P33" s="50">
        <v>0</v>
      </c>
      <c r="Q33" s="50">
        <v>0</v>
      </c>
      <c r="R33" s="50">
        <v>332825.22499999998</v>
      </c>
      <c r="S33" s="152"/>
      <c r="T33" s="53"/>
      <c r="W33" s="53"/>
      <c r="X33" s="53"/>
      <c r="AB33" s="53"/>
      <c r="AC33" s="54"/>
      <c r="AD33" s="53"/>
    </row>
    <row r="34" spans="1:30" s="9" customFormat="1" x14ac:dyDescent="0.25">
      <c r="C34" s="62"/>
      <c r="D34" s="63"/>
      <c r="E34" s="63"/>
      <c r="F34" s="63"/>
      <c r="G34" s="64"/>
      <c r="H34" s="63"/>
      <c r="I34" s="63"/>
      <c r="J34" s="63"/>
      <c r="K34" s="65"/>
      <c r="L34" s="52"/>
      <c r="M34" s="65"/>
      <c r="N34" s="52"/>
      <c r="O34" s="52"/>
      <c r="P34" s="65"/>
      <c r="Q34" s="65"/>
      <c r="R34" s="65"/>
      <c r="S34" s="65"/>
      <c r="T34" s="53"/>
      <c r="U34" s="54"/>
      <c r="V34" s="53"/>
    </row>
    <row r="35" spans="1:30" s="9" customFormat="1" ht="24" x14ac:dyDescent="0.25">
      <c r="A35" s="56" t="s">
        <v>35</v>
      </c>
      <c r="B35" s="57" t="s">
        <v>36</v>
      </c>
      <c r="C35" s="58">
        <v>0</v>
      </c>
      <c r="D35" s="58">
        <v>0</v>
      </c>
      <c r="E35" s="58">
        <v>2601.4949066427826</v>
      </c>
      <c r="F35" s="58">
        <v>31742.160114901191</v>
      </c>
      <c r="G35" s="58">
        <v>600.34497845602664</v>
      </c>
      <c r="H35" s="58">
        <v>0</v>
      </c>
      <c r="I35" s="59">
        <f>SUM(C35:H35)</f>
        <v>34944</v>
      </c>
      <c r="J35" s="153"/>
      <c r="K35" s="60"/>
      <c r="L35" s="58">
        <v>0</v>
      </c>
      <c r="M35" s="58">
        <v>0</v>
      </c>
      <c r="N35" s="58">
        <v>2163.14777951616</v>
      </c>
      <c r="O35" s="58">
        <v>26393.664271364727</v>
      </c>
      <c r="P35" s="58">
        <v>499.18794911911374</v>
      </c>
      <c r="Q35" s="58">
        <v>0</v>
      </c>
      <c r="R35" s="59">
        <f>SUM(L35:Q35)</f>
        <v>29056</v>
      </c>
      <c r="S35" s="151">
        <f>+I35:I36</f>
        <v>34944</v>
      </c>
      <c r="T35">
        <v>379</v>
      </c>
      <c r="U35">
        <v>31</v>
      </c>
      <c r="V35">
        <v>34000</v>
      </c>
      <c r="W35">
        <v>721000</v>
      </c>
      <c r="X35" t="s">
        <v>175</v>
      </c>
    </row>
    <row r="36" spans="1:30" s="9" customFormat="1" x14ac:dyDescent="0.25">
      <c r="C36" s="62"/>
      <c r="D36" s="63"/>
      <c r="E36" s="63"/>
      <c r="F36" s="63"/>
      <c r="G36" s="64"/>
      <c r="H36" s="63"/>
      <c r="I36" s="63"/>
      <c r="J36" s="63"/>
      <c r="K36" s="65"/>
      <c r="L36" s="52"/>
      <c r="M36" s="65"/>
      <c r="N36" s="52"/>
      <c r="O36" s="52"/>
      <c r="P36" s="65"/>
      <c r="Q36" s="65"/>
      <c r="R36" s="65"/>
      <c r="S36" s="65"/>
      <c r="T36" s="53"/>
      <c r="U36" s="54"/>
      <c r="V36" s="53"/>
    </row>
    <row r="37" spans="1:30" s="9" customFormat="1" ht="60" x14ac:dyDescent="0.25">
      <c r="A37" s="56" t="s">
        <v>37</v>
      </c>
      <c r="B37" s="66" t="s">
        <v>38</v>
      </c>
      <c r="C37" s="58">
        <v>30456.736304174818</v>
      </c>
      <c r="D37" s="58">
        <v>93114.822736127826</v>
      </c>
      <c r="E37" s="58">
        <v>32767.853988977204</v>
      </c>
      <c r="F37" s="58">
        <v>24516.955502544097</v>
      </c>
      <c r="G37" s="58">
        <v>7543.6314681760632</v>
      </c>
      <c r="H37" s="58">
        <v>0</v>
      </c>
      <c r="I37" s="59">
        <f>SUM(C37:H37)</f>
        <v>188400</v>
      </c>
      <c r="J37" s="59"/>
      <c r="K37" s="67"/>
      <c r="L37" s="58">
        <v>30456.736304174818</v>
      </c>
      <c r="M37" s="58">
        <v>93114.822736127826</v>
      </c>
      <c r="N37" s="58">
        <v>32767.853988977204</v>
      </c>
      <c r="O37" s="58">
        <v>24516.955502544097</v>
      </c>
      <c r="P37" s="58">
        <v>7543.6314681760632</v>
      </c>
      <c r="Q37" s="58">
        <v>0</v>
      </c>
      <c r="R37" s="59">
        <f>SUM(L37:Q37)</f>
        <v>188400</v>
      </c>
      <c r="S37" s="153"/>
      <c r="T37" s="61"/>
      <c r="U37" s="68"/>
      <c r="V37" s="68"/>
      <c r="W37" s="68"/>
      <c r="AA37" s="68"/>
      <c r="AB37" s="69"/>
      <c r="AC37" s="68"/>
    </row>
    <row r="38" spans="1:30" s="9" customFormat="1" ht="15" x14ac:dyDescent="0.25">
      <c r="A38" s="48" t="s">
        <v>39</v>
      </c>
      <c r="B38" s="49" t="s">
        <v>40</v>
      </c>
      <c r="C38" s="50">
        <f>$I$38*(C37/$I$37)</f>
        <v>24248.993872750649</v>
      </c>
      <c r="D38" s="50">
        <f t="shared" ref="D38:H38" si="4">$I$38*(D37/$I$37)</f>
        <v>74136.0053631591</v>
      </c>
      <c r="E38" s="50">
        <f t="shared" si="4"/>
        <v>26089.055723707967</v>
      </c>
      <c r="F38" s="50">
        <f t="shared" si="4"/>
        <v>19519.869030687973</v>
      </c>
      <c r="G38" s="50">
        <f t="shared" si="4"/>
        <v>6006.0760096943177</v>
      </c>
      <c r="H38" s="50">
        <f t="shared" si="4"/>
        <v>0</v>
      </c>
      <c r="I38" s="51">
        <v>150000</v>
      </c>
      <c r="J38" s="51"/>
      <c r="K38" s="70"/>
      <c r="L38" s="50">
        <f>$R$38*(L37/$R$37)</f>
        <v>24248.993872750649</v>
      </c>
      <c r="M38" s="50">
        <f t="shared" ref="M38:Q38" si="5">$R$38*(M37/$R$37)</f>
        <v>74136.0053631591</v>
      </c>
      <c r="N38" s="50">
        <f t="shared" si="5"/>
        <v>26089.055723707967</v>
      </c>
      <c r="O38" s="50">
        <f t="shared" si="5"/>
        <v>19519.869030687973</v>
      </c>
      <c r="P38" s="50">
        <f t="shared" si="5"/>
        <v>6006.0760096943177</v>
      </c>
      <c r="Q38" s="50">
        <f t="shared" si="5"/>
        <v>0</v>
      </c>
      <c r="R38" s="51">
        <v>150000</v>
      </c>
      <c r="S38" s="151">
        <f t="shared" ref="S38:S39" si="6">+I38:I39</f>
        <v>150000</v>
      </c>
      <c r="T38">
        <v>336</v>
      </c>
      <c r="U38">
        <v>31</v>
      </c>
      <c r="V38">
        <v>34000</v>
      </c>
      <c r="W38">
        <v>541300</v>
      </c>
      <c r="X38" t="s">
        <v>176</v>
      </c>
      <c r="AB38" s="53"/>
      <c r="AC38" s="54"/>
      <c r="AD38" s="53"/>
    </row>
    <row r="39" spans="1:30" s="9" customFormat="1" ht="15" x14ac:dyDescent="0.25">
      <c r="A39" s="48" t="s">
        <v>41</v>
      </c>
      <c r="B39" s="71" t="s">
        <v>42</v>
      </c>
      <c r="C39" s="50">
        <f>$I$39*(C37/$I$37)</f>
        <v>6207.7424314241662</v>
      </c>
      <c r="D39" s="50">
        <f t="shared" ref="D39:H39" si="7">$I$39*(D37/$I$37)</f>
        <v>18978.81737296873</v>
      </c>
      <c r="E39" s="50">
        <f t="shared" si="7"/>
        <v>6678.798265269239</v>
      </c>
      <c r="F39" s="50">
        <f t="shared" si="7"/>
        <v>4997.0864718561215</v>
      </c>
      <c r="G39" s="50">
        <f t="shared" si="7"/>
        <v>1537.5554584817453</v>
      </c>
      <c r="H39" s="50">
        <f t="shared" si="7"/>
        <v>0</v>
      </c>
      <c r="I39" s="72">
        <v>38400</v>
      </c>
      <c r="J39" s="152"/>
      <c r="K39" s="52"/>
      <c r="L39" s="50">
        <f>$R$39*(L37/$R$37)</f>
        <v>6207.7424314241662</v>
      </c>
      <c r="M39" s="50">
        <f t="shared" ref="M39:Q39" si="8">$R$39*(M37/$R$37)</f>
        <v>18978.81737296873</v>
      </c>
      <c r="N39" s="50">
        <f t="shared" si="8"/>
        <v>6678.798265269239</v>
      </c>
      <c r="O39" s="50">
        <f t="shared" si="8"/>
        <v>4997.0864718561215</v>
      </c>
      <c r="P39" s="50">
        <f t="shared" si="8"/>
        <v>1537.5554584817453</v>
      </c>
      <c r="Q39" s="50">
        <f t="shared" si="8"/>
        <v>0</v>
      </c>
      <c r="R39" s="72">
        <v>38400</v>
      </c>
      <c r="S39" s="151">
        <f t="shared" si="6"/>
        <v>38400</v>
      </c>
      <c r="T39">
        <v>379</v>
      </c>
      <c r="U39">
        <v>31</v>
      </c>
      <c r="V39">
        <v>34000</v>
      </c>
      <c r="W39">
        <v>721000</v>
      </c>
      <c r="X39" t="s">
        <v>175</v>
      </c>
      <c r="AB39" s="53"/>
      <c r="AC39" s="54"/>
      <c r="AD39" s="53"/>
    </row>
    <row r="40" spans="1:30" s="9" customFormat="1" x14ac:dyDescent="0.25">
      <c r="C40" s="62"/>
      <c r="D40" s="63"/>
      <c r="E40" s="63"/>
      <c r="F40" s="63"/>
      <c r="G40" s="64"/>
      <c r="H40" s="63"/>
      <c r="I40" s="63"/>
      <c r="J40" s="63"/>
      <c r="K40" s="65"/>
      <c r="L40" s="52"/>
      <c r="M40" s="65"/>
      <c r="N40" s="52"/>
      <c r="O40" s="52"/>
      <c r="P40" s="65"/>
      <c r="Q40" s="65"/>
      <c r="R40" s="65"/>
      <c r="S40" s="65"/>
      <c r="T40" s="53"/>
      <c r="U40" s="54"/>
      <c r="V40" s="53"/>
    </row>
    <row r="41" spans="1:30" s="9" customFormat="1" x14ac:dyDescent="0.25">
      <c r="A41" s="56" t="s">
        <v>43</v>
      </c>
      <c r="B41" s="66" t="s">
        <v>44</v>
      </c>
      <c r="C41" s="58">
        <v>118362.98234730435</v>
      </c>
      <c r="D41" s="58">
        <v>22796.517199283586</v>
      </c>
      <c r="E41" s="58">
        <v>91190.781011944797</v>
      </c>
      <c r="F41" s="58">
        <v>210425.71944146726</v>
      </c>
      <c r="G41" s="58">
        <v>0</v>
      </c>
      <c r="H41" s="58">
        <v>0</v>
      </c>
      <c r="I41" s="59">
        <f>SUM(C41:H41)</f>
        <v>442776</v>
      </c>
      <c r="J41" s="153"/>
      <c r="K41" s="60"/>
      <c r="L41" s="58">
        <v>79614.380306528736</v>
      </c>
      <c r="M41" s="58">
        <v>15333.599694562115</v>
      </c>
      <c r="N41" s="58">
        <v>61337.56835081723</v>
      </c>
      <c r="O41" s="58">
        <v>141538.45164809193</v>
      </c>
      <c r="P41" s="58">
        <v>0</v>
      </c>
      <c r="Q41" s="58">
        <v>0</v>
      </c>
      <c r="R41" s="59">
        <f>SUM(L41:Q41)</f>
        <v>297824</v>
      </c>
      <c r="S41" s="153"/>
      <c r="T41" s="61"/>
      <c r="U41" s="68"/>
      <c r="V41" s="68"/>
      <c r="W41" s="68"/>
      <c r="AA41" s="68"/>
      <c r="AB41" s="69"/>
      <c r="AC41" s="68"/>
    </row>
    <row r="42" spans="1:30" s="9" customFormat="1" ht="24" x14ac:dyDescent="0.25">
      <c r="A42" s="48" t="s">
        <v>41</v>
      </c>
      <c r="B42" s="71" t="s">
        <v>45</v>
      </c>
      <c r="C42" s="50">
        <f>$I$42*(C41/$I$41)</f>
        <v>95747.690853226202</v>
      </c>
      <c r="D42" s="50">
        <f t="shared" ref="D42:H42" si="9">$I$42*(D41/$I$41)</f>
        <v>18440.84897187426</v>
      </c>
      <c r="E42" s="50">
        <f t="shared" si="9"/>
        <v>73767.207752304414</v>
      </c>
      <c r="F42" s="50">
        <f t="shared" si="9"/>
        <v>170220.25242259511</v>
      </c>
      <c r="G42" s="50">
        <f t="shared" si="9"/>
        <v>0</v>
      </c>
      <c r="H42" s="50">
        <f t="shared" si="9"/>
        <v>0</v>
      </c>
      <c r="I42" s="51">
        <v>358176</v>
      </c>
      <c r="J42" s="151"/>
      <c r="K42" s="52"/>
      <c r="L42" s="50">
        <f>$R$42*(L41/$R$41)</f>
        <v>79614.380306528736</v>
      </c>
      <c r="M42" s="50">
        <f t="shared" ref="M42:Q42" si="10">$R$42*(M41/$R$41)</f>
        <v>15333.599694562115</v>
      </c>
      <c r="N42" s="50">
        <f t="shared" si="10"/>
        <v>61337.56835081723</v>
      </c>
      <c r="O42" s="50">
        <f t="shared" si="10"/>
        <v>141538.45164809193</v>
      </c>
      <c r="P42" s="50">
        <f t="shared" si="10"/>
        <v>0</v>
      </c>
      <c r="Q42" s="50">
        <f t="shared" si="10"/>
        <v>0</v>
      </c>
      <c r="R42" s="51">
        <v>297824</v>
      </c>
      <c r="S42" s="151">
        <f t="shared" ref="S42:S43" si="11">+I42:I43</f>
        <v>358176</v>
      </c>
      <c r="T42">
        <v>379</v>
      </c>
      <c r="U42">
        <v>31</v>
      </c>
      <c r="V42">
        <v>34000</v>
      </c>
      <c r="W42">
        <v>721000</v>
      </c>
      <c r="X42" t="s">
        <v>175</v>
      </c>
      <c r="AB42" s="53"/>
      <c r="AC42" s="54"/>
      <c r="AD42" s="53"/>
    </row>
    <row r="43" spans="1:30" s="9" customFormat="1" ht="15" x14ac:dyDescent="0.25">
      <c r="A43" s="48" t="s">
        <v>46</v>
      </c>
      <c r="B43" s="49" t="s">
        <v>47</v>
      </c>
      <c r="C43" s="50">
        <f>$I$43*(C41/$I$41)</f>
        <v>22615.291494078152</v>
      </c>
      <c r="D43" s="50">
        <f t="shared" ref="D43:H43" si="12">$I$43*(D41/$I$41)</f>
        <v>4355.6682274093255</v>
      </c>
      <c r="E43" s="50">
        <f t="shared" si="12"/>
        <v>17423.573259640383</v>
      </c>
      <c r="F43" s="50">
        <f t="shared" si="12"/>
        <v>40205.467018872136</v>
      </c>
      <c r="G43" s="50">
        <f t="shared" si="12"/>
        <v>0</v>
      </c>
      <c r="H43" s="50">
        <f t="shared" si="12"/>
        <v>0</v>
      </c>
      <c r="I43" s="51">
        <v>84600</v>
      </c>
      <c r="J43" s="151"/>
      <c r="K43" s="52"/>
      <c r="L43" s="50">
        <f>$R$43*(L41/$R$41)</f>
        <v>0</v>
      </c>
      <c r="M43" s="50">
        <f t="shared" ref="M43:Q43" si="13">$R$43*(M41/$R$41)</f>
        <v>0</v>
      </c>
      <c r="N43" s="50">
        <f t="shared" si="13"/>
        <v>0</v>
      </c>
      <c r="O43" s="50">
        <f t="shared" si="13"/>
        <v>0</v>
      </c>
      <c r="P43" s="50">
        <f t="shared" si="13"/>
        <v>0</v>
      </c>
      <c r="Q43" s="50">
        <f t="shared" si="13"/>
        <v>0</v>
      </c>
      <c r="R43" s="51">
        <v>0</v>
      </c>
      <c r="S43" s="151">
        <f t="shared" si="11"/>
        <v>84600</v>
      </c>
      <c r="T43">
        <v>336</v>
      </c>
      <c r="U43">
        <v>31</v>
      </c>
      <c r="V43">
        <v>34000</v>
      </c>
      <c r="W43">
        <v>541300</v>
      </c>
      <c r="X43" t="s">
        <v>176</v>
      </c>
      <c r="AB43" s="53"/>
      <c r="AC43" s="54"/>
      <c r="AD43" s="53"/>
    </row>
    <row r="44" spans="1:30" s="9" customFormat="1" x14ac:dyDescent="0.25">
      <c r="C44" s="62"/>
      <c r="D44" s="63"/>
      <c r="E44" s="63"/>
      <c r="F44" s="63"/>
      <c r="G44" s="64"/>
      <c r="H44" s="63"/>
      <c r="I44" s="63"/>
      <c r="J44" s="63"/>
      <c r="K44" s="65"/>
      <c r="L44" s="52"/>
      <c r="M44" s="65"/>
      <c r="N44" s="52"/>
      <c r="O44" s="52"/>
      <c r="P44" s="65"/>
      <c r="Q44" s="65"/>
      <c r="R44" s="65"/>
      <c r="S44" s="65"/>
      <c r="T44" s="53"/>
      <c r="U44" s="54"/>
      <c r="V44" s="53"/>
    </row>
    <row r="45" spans="1:30" s="9" customFormat="1" ht="24" x14ac:dyDescent="0.25">
      <c r="A45" s="56" t="s">
        <v>48</v>
      </c>
      <c r="B45" s="57" t="s">
        <v>49</v>
      </c>
      <c r="C45" s="58">
        <f>C46+C47</f>
        <v>323558.83559999999</v>
      </c>
      <c r="D45" s="58">
        <f t="shared" ref="D45:H45" si="14">D46+D47</f>
        <v>251910.75000000003</v>
      </c>
      <c r="E45" s="58">
        <f t="shared" si="14"/>
        <v>87360</v>
      </c>
      <c r="F45" s="58">
        <f t="shared" si="14"/>
        <v>98280.000000000015</v>
      </c>
      <c r="G45" s="58">
        <f t="shared" si="14"/>
        <v>28665.000000000004</v>
      </c>
      <c r="H45" s="58">
        <f t="shared" si="14"/>
        <v>0</v>
      </c>
      <c r="I45" s="59">
        <f t="shared" ref="I45:I52" si="15">SUM(C45:H45)</f>
        <v>789774.58559999999</v>
      </c>
      <c r="J45" s="153"/>
      <c r="K45" s="60"/>
      <c r="L45" s="58">
        <f>L46+L47</f>
        <v>269039.76439999999</v>
      </c>
      <c r="M45" s="58">
        <f t="shared" ref="M45:Q45" si="16">M46+M47</f>
        <v>209464.25</v>
      </c>
      <c r="N45" s="58">
        <f t="shared" si="16"/>
        <v>72640</v>
      </c>
      <c r="O45" s="58">
        <f t="shared" si="16"/>
        <v>81720</v>
      </c>
      <c r="P45" s="58">
        <f t="shared" si="16"/>
        <v>23835</v>
      </c>
      <c r="Q45" s="58">
        <f t="shared" si="16"/>
        <v>0</v>
      </c>
      <c r="R45" s="59">
        <f t="shared" ref="R45:R52" si="17">SUM(L45:Q45)</f>
        <v>656699.01439999999</v>
      </c>
      <c r="S45" s="153"/>
      <c r="T45" s="61"/>
      <c r="U45" s="68"/>
      <c r="V45" s="68"/>
      <c r="W45" s="68"/>
      <c r="AA45" s="68"/>
      <c r="AB45" s="69"/>
      <c r="AC45" s="68"/>
    </row>
    <row r="46" spans="1:30" s="9" customFormat="1" ht="132" x14ac:dyDescent="0.25">
      <c r="A46" s="48" t="s">
        <v>50</v>
      </c>
      <c r="B46" s="73" t="s">
        <v>51</v>
      </c>
      <c r="C46" s="51">
        <v>323558.83559999999</v>
      </c>
      <c r="D46" s="51">
        <v>224610.75000000003</v>
      </c>
      <c r="E46" s="51">
        <v>10578.75</v>
      </c>
      <c r="F46" s="51">
        <v>0</v>
      </c>
      <c r="G46" s="51">
        <v>0</v>
      </c>
      <c r="H46" s="51">
        <v>0</v>
      </c>
      <c r="I46" s="74">
        <f t="shared" si="15"/>
        <v>558748.33559999999</v>
      </c>
      <c r="J46" s="154"/>
      <c r="K46" s="65"/>
      <c r="L46" s="51">
        <v>269039.76439999999</v>
      </c>
      <c r="M46" s="51">
        <v>186764.25</v>
      </c>
      <c r="N46" s="51">
        <v>8796.25</v>
      </c>
      <c r="O46" s="51">
        <v>0</v>
      </c>
      <c r="P46" s="51">
        <v>0</v>
      </c>
      <c r="Q46" s="51">
        <v>0</v>
      </c>
      <c r="R46" s="74">
        <f t="shared" si="17"/>
        <v>464600.26439999999</v>
      </c>
      <c r="S46" s="151">
        <f>+I46:I47</f>
        <v>558748.33559999999</v>
      </c>
      <c r="T46">
        <v>338</v>
      </c>
      <c r="U46">
        <v>31</v>
      </c>
      <c r="V46">
        <v>34000</v>
      </c>
      <c r="W46" t="s">
        <v>177</v>
      </c>
      <c r="X46" t="s">
        <v>178</v>
      </c>
      <c r="AA46" s="68"/>
      <c r="AB46" s="69"/>
      <c r="AC46" s="68"/>
    </row>
    <row r="47" spans="1:30" s="9" customFormat="1" ht="60" x14ac:dyDescent="0.25">
      <c r="A47" s="48" t="s">
        <v>52</v>
      </c>
      <c r="B47" s="73" t="s">
        <v>53</v>
      </c>
      <c r="C47" s="51">
        <v>0</v>
      </c>
      <c r="D47" s="51">
        <v>27300.000000000004</v>
      </c>
      <c r="E47" s="51">
        <v>76781.25</v>
      </c>
      <c r="F47" s="51">
        <v>98280.000000000015</v>
      </c>
      <c r="G47" s="51">
        <v>28665.000000000004</v>
      </c>
      <c r="H47" s="51">
        <v>0</v>
      </c>
      <c r="I47" s="74">
        <f t="shared" si="15"/>
        <v>231026.25</v>
      </c>
      <c r="J47" s="154"/>
      <c r="K47" s="65"/>
      <c r="L47" s="51">
        <v>0</v>
      </c>
      <c r="M47" s="51">
        <v>22700</v>
      </c>
      <c r="N47" s="51">
        <v>63843.75</v>
      </c>
      <c r="O47" s="51">
        <v>81720</v>
      </c>
      <c r="P47" s="51">
        <v>23835</v>
      </c>
      <c r="Q47" s="51">
        <v>0</v>
      </c>
      <c r="R47" s="74">
        <f t="shared" si="17"/>
        <v>192098.75</v>
      </c>
      <c r="S47" s="151">
        <f t="shared" ref="S47:S49" si="18">+I47:I48</f>
        <v>231026.25</v>
      </c>
      <c r="T47">
        <v>338</v>
      </c>
      <c r="U47">
        <v>31</v>
      </c>
      <c r="V47">
        <v>34000</v>
      </c>
      <c r="W47" t="s">
        <v>177</v>
      </c>
      <c r="X47" t="s">
        <v>178</v>
      </c>
      <c r="AA47" s="68"/>
      <c r="AB47" s="69"/>
      <c r="AC47" s="68"/>
    </row>
    <row r="48" spans="1:30" s="9" customFormat="1" x14ac:dyDescent="0.25">
      <c r="C48" s="62"/>
      <c r="D48" s="63"/>
      <c r="E48" s="63"/>
      <c r="F48" s="63"/>
      <c r="G48" s="64"/>
      <c r="H48" s="63"/>
      <c r="I48" s="63"/>
      <c r="J48" s="63"/>
      <c r="K48" s="65"/>
      <c r="L48" s="52"/>
      <c r="M48" s="65"/>
      <c r="N48" s="52"/>
      <c r="O48" s="52"/>
      <c r="P48" s="65"/>
      <c r="Q48" s="65"/>
      <c r="R48" s="65"/>
      <c r="S48" s="151">
        <f t="shared" si="18"/>
        <v>0</v>
      </c>
      <c r="T48" s="53"/>
      <c r="U48" s="54"/>
      <c r="V48" s="53"/>
    </row>
    <row r="49" spans="1:35" s="9" customFormat="1" ht="24" x14ac:dyDescent="0.25">
      <c r="A49" s="56" t="s">
        <v>54</v>
      </c>
      <c r="B49" s="66" t="s">
        <v>55</v>
      </c>
      <c r="C49" s="58">
        <v>4076.0501258125296</v>
      </c>
      <c r="D49" s="58">
        <v>24768.181698826807</v>
      </c>
      <c r="E49" s="58">
        <v>4953.6363397653613</v>
      </c>
      <c r="F49" s="58">
        <v>16594.68173821396</v>
      </c>
      <c r="G49" s="58">
        <v>4316.4500973813429</v>
      </c>
      <c r="H49" s="58">
        <v>0</v>
      </c>
      <c r="I49" s="59">
        <f t="shared" si="15"/>
        <v>54709</v>
      </c>
      <c r="J49" s="153"/>
      <c r="K49" s="60"/>
      <c r="L49" s="58">
        <v>3389.2704358211222</v>
      </c>
      <c r="M49" s="58">
        <v>20594.954279210557</v>
      </c>
      <c r="N49" s="58">
        <v>4118.9908558421112</v>
      </c>
      <c r="O49" s="58">
        <v>13798.619367071071</v>
      </c>
      <c r="P49" s="58">
        <v>3589.16506205514</v>
      </c>
      <c r="Q49" s="58">
        <v>0</v>
      </c>
      <c r="R49" s="59">
        <f t="shared" si="17"/>
        <v>45491</v>
      </c>
      <c r="S49" s="151">
        <f t="shared" si="18"/>
        <v>54709</v>
      </c>
      <c r="T49">
        <v>379</v>
      </c>
      <c r="U49">
        <v>31</v>
      </c>
      <c r="V49">
        <v>34000</v>
      </c>
      <c r="W49">
        <v>721000</v>
      </c>
      <c r="X49" t="s">
        <v>175</v>
      </c>
      <c r="AA49" s="68"/>
      <c r="AB49" s="69"/>
      <c r="AC49" s="68"/>
    </row>
    <row r="50" spans="1:35" s="9" customFormat="1" x14ac:dyDescent="0.25">
      <c r="C50" s="62"/>
      <c r="D50" s="63"/>
      <c r="E50" s="63"/>
      <c r="F50" s="63"/>
      <c r="G50" s="64"/>
      <c r="H50" s="63"/>
      <c r="I50" s="63"/>
      <c r="J50" s="63"/>
      <c r="K50" s="65"/>
      <c r="L50" s="52"/>
      <c r="M50" s="65"/>
      <c r="N50" s="52"/>
      <c r="O50" s="52"/>
      <c r="P50" s="65"/>
      <c r="Q50" s="65"/>
      <c r="R50" s="65"/>
      <c r="S50" s="65"/>
      <c r="T50" s="53"/>
      <c r="U50" s="54"/>
      <c r="V50" s="53"/>
    </row>
    <row r="51" spans="1:35" s="9" customFormat="1" x14ac:dyDescent="0.25">
      <c r="A51" s="158" t="s">
        <v>56</v>
      </c>
      <c r="B51" s="159" t="s">
        <v>57</v>
      </c>
      <c r="C51" s="160">
        <v>0</v>
      </c>
      <c r="D51" s="160">
        <v>0</v>
      </c>
      <c r="E51" s="160">
        <v>1526714.5401052956</v>
      </c>
      <c r="F51" s="160">
        <v>1499535.4598947042</v>
      </c>
      <c r="G51" s="160">
        <v>0</v>
      </c>
      <c r="H51" s="160">
        <v>0</v>
      </c>
      <c r="I51" s="161">
        <f>SUM(C51:H51)</f>
        <v>3026250</v>
      </c>
      <c r="J51" s="162"/>
      <c r="K51" s="163"/>
      <c r="L51" s="160">
        <v>0</v>
      </c>
      <c r="M51" s="160">
        <v>0</v>
      </c>
      <c r="N51" s="160">
        <v>504490.55435119226</v>
      </c>
      <c r="O51" s="160">
        <v>495509.44564880768</v>
      </c>
      <c r="P51" s="160">
        <v>0</v>
      </c>
      <c r="Q51" s="160">
        <v>0</v>
      </c>
      <c r="R51" s="161">
        <f>SUM(L51:Q51)</f>
        <v>1000000</v>
      </c>
      <c r="S51" s="162"/>
      <c r="T51" s="61"/>
      <c r="U51" s="68"/>
      <c r="V51" s="68"/>
      <c r="W51" s="68"/>
      <c r="AA51" s="68"/>
      <c r="AB51" s="69"/>
      <c r="AC51" s="68"/>
    </row>
    <row r="52" spans="1:35" s="9" customFormat="1" ht="132" x14ac:dyDescent="0.25">
      <c r="A52" s="56" t="s">
        <v>58</v>
      </c>
      <c r="B52" s="66" t="s">
        <v>59</v>
      </c>
      <c r="C52" s="58">
        <v>29754.814367490417</v>
      </c>
      <c r="D52" s="58">
        <v>45494.571750440096</v>
      </c>
      <c r="E52" s="58">
        <v>41372.286141862802</v>
      </c>
      <c r="F52" s="58">
        <v>36978.327740206681</v>
      </c>
      <c r="G52" s="58">
        <v>0</v>
      </c>
      <c r="H52" s="58">
        <v>0</v>
      </c>
      <c r="I52" s="59">
        <f t="shared" si="15"/>
        <v>153600</v>
      </c>
      <c r="J52" s="153"/>
      <c r="K52" s="60"/>
      <c r="L52" s="58">
        <v>173182.31799828407</v>
      </c>
      <c r="M52" s="58">
        <v>264792.62464123336</v>
      </c>
      <c r="N52" s="58">
        <v>240799.63418506083</v>
      </c>
      <c r="O52" s="58">
        <v>215225.42317542169</v>
      </c>
      <c r="P52" s="58">
        <v>0</v>
      </c>
      <c r="Q52" s="58">
        <v>0</v>
      </c>
      <c r="R52" s="59">
        <f t="shared" si="17"/>
        <v>893999.99999999988</v>
      </c>
      <c r="S52" s="153"/>
      <c r="T52">
        <v>347</v>
      </c>
      <c r="U52">
        <v>31</v>
      </c>
      <c r="V52">
        <v>34000</v>
      </c>
      <c r="W52">
        <v>561700</v>
      </c>
      <c r="X52" t="s">
        <v>179</v>
      </c>
    </row>
    <row r="53" spans="1:35" s="9" customFormat="1" x14ac:dyDescent="0.25">
      <c r="A53" s="48" t="s">
        <v>60</v>
      </c>
      <c r="B53" s="49" t="s">
        <v>61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74">
        <v>0</v>
      </c>
      <c r="J53" s="154"/>
      <c r="K53" s="65"/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74">
        <v>0</v>
      </c>
      <c r="S53" s="154"/>
      <c r="U53" s="68"/>
      <c r="V53" s="68"/>
      <c r="W53" s="68"/>
      <c r="AA53" s="68"/>
      <c r="AB53" s="69"/>
      <c r="AC53" s="68"/>
    </row>
    <row r="54" spans="1:35" s="9" customFormat="1" ht="36" x14ac:dyDescent="0.25">
      <c r="A54" s="48" t="s">
        <v>62</v>
      </c>
      <c r="B54" s="49" t="s">
        <v>63</v>
      </c>
      <c r="C54" s="50">
        <f>$I$54*(C52/$I$52)</f>
        <v>29754.814367490417</v>
      </c>
      <c r="D54" s="50">
        <f t="shared" ref="D54:H54" si="19">$I$54*(D52/$I$52)</f>
        <v>45494.571750440096</v>
      </c>
      <c r="E54" s="50">
        <f t="shared" si="19"/>
        <v>41372.286141862802</v>
      </c>
      <c r="F54" s="50">
        <f t="shared" si="19"/>
        <v>36978.327740206681</v>
      </c>
      <c r="G54" s="50">
        <f t="shared" si="19"/>
        <v>0</v>
      </c>
      <c r="H54" s="50">
        <f t="shared" si="19"/>
        <v>0</v>
      </c>
      <c r="I54" s="74">
        <v>153600</v>
      </c>
      <c r="J54" s="154"/>
      <c r="K54" s="65"/>
      <c r="L54" s="50">
        <f>$R$54*(L52/$R$52)</f>
        <v>148774.07183745209</v>
      </c>
      <c r="M54" s="50">
        <f t="shared" ref="M54:Q54" si="20">$R$54*(M52/$R$52)</f>
        <v>227472.85875220047</v>
      </c>
      <c r="N54" s="50">
        <f t="shared" si="20"/>
        <v>206861.43070931401</v>
      </c>
      <c r="O54" s="50">
        <f t="shared" si="20"/>
        <v>184891.63870103343</v>
      </c>
      <c r="P54" s="50">
        <f t="shared" si="20"/>
        <v>0</v>
      </c>
      <c r="Q54" s="50">
        <f t="shared" si="20"/>
        <v>0</v>
      </c>
      <c r="R54" s="74">
        <v>768000</v>
      </c>
      <c r="S54" s="154"/>
      <c r="T54">
        <v>379</v>
      </c>
      <c r="U54">
        <v>31</v>
      </c>
      <c r="V54">
        <v>34000</v>
      </c>
      <c r="W54">
        <v>721000</v>
      </c>
      <c r="X54" t="s">
        <v>175</v>
      </c>
      <c r="AA54" s="68"/>
      <c r="AB54" s="69"/>
      <c r="AC54" s="68"/>
    </row>
    <row r="55" spans="1:35" s="9" customFormat="1" ht="15" x14ac:dyDescent="0.25">
      <c r="A55" s="48" t="s">
        <v>64</v>
      </c>
      <c r="B55" s="49" t="s">
        <v>65</v>
      </c>
      <c r="C55" s="50">
        <f>$I$55*(C52/$I$52)</f>
        <v>0</v>
      </c>
      <c r="D55" s="50">
        <f t="shared" ref="D55:H55" si="21">$I$55*(D52/$I$52)</f>
        <v>0</v>
      </c>
      <c r="E55" s="50">
        <f t="shared" si="21"/>
        <v>0</v>
      </c>
      <c r="F55" s="50">
        <f t="shared" si="21"/>
        <v>0</v>
      </c>
      <c r="G55" s="50">
        <f t="shared" si="21"/>
        <v>0</v>
      </c>
      <c r="H55" s="50">
        <f t="shared" si="21"/>
        <v>0</v>
      </c>
      <c r="I55" s="74">
        <v>0</v>
      </c>
      <c r="J55" s="154"/>
      <c r="K55" s="65"/>
      <c r="L55" s="50">
        <f>$R$55*(L52/$R$52)</f>
        <v>24408.246160831986</v>
      </c>
      <c r="M55" s="50">
        <f t="shared" ref="M55:Q55" si="22">$R$55*(M52/$R$52)</f>
        <v>37319.765889032889</v>
      </c>
      <c r="N55" s="50">
        <f t="shared" si="22"/>
        <v>33938.203475746828</v>
      </c>
      <c r="O55" s="50">
        <f t="shared" si="22"/>
        <v>30333.784474388296</v>
      </c>
      <c r="P55" s="50">
        <f t="shared" si="22"/>
        <v>0</v>
      </c>
      <c r="Q55" s="50">
        <f t="shared" si="22"/>
        <v>0</v>
      </c>
      <c r="R55" s="74">
        <v>126000</v>
      </c>
      <c r="S55" s="154"/>
      <c r="T55">
        <v>345</v>
      </c>
      <c r="U55">
        <v>31</v>
      </c>
      <c r="V55">
        <v>34000</v>
      </c>
      <c r="W55">
        <v>550000</v>
      </c>
      <c r="X55" t="s">
        <v>180</v>
      </c>
      <c r="AB55" s="53"/>
      <c r="AC55" s="54"/>
      <c r="AD55" s="53"/>
    </row>
    <row r="56" spans="1:35" s="9" customFormat="1" x14ac:dyDescent="0.25">
      <c r="C56" s="62"/>
      <c r="D56" s="63"/>
      <c r="E56" s="63"/>
      <c r="F56" s="63"/>
      <c r="G56" s="64"/>
      <c r="H56" s="63"/>
      <c r="I56" s="63"/>
      <c r="J56" s="63"/>
      <c r="K56" s="65"/>
      <c r="L56" s="52"/>
      <c r="M56" s="65"/>
      <c r="N56" s="52"/>
      <c r="O56" s="52"/>
      <c r="P56" s="65"/>
      <c r="Q56" s="65"/>
      <c r="R56" s="65"/>
      <c r="S56" s="65"/>
      <c r="T56" s="53"/>
      <c r="U56" s="54"/>
      <c r="V56" s="53"/>
    </row>
    <row r="57" spans="1:35" s="9" customFormat="1" ht="96" x14ac:dyDescent="0.25">
      <c r="A57" s="56" t="s">
        <v>66</v>
      </c>
      <c r="B57" s="66" t="s">
        <v>67</v>
      </c>
      <c r="C57" s="58">
        <v>17199.992529609328</v>
      </c>
      <c r="D57" s="58">
        <v>914605.42800650757</v>
      </c>
      <c r="E57" s="58">
        <v>4220978.3608973688</v>
      </c>
      <c r="F57" s="58">
        <v>2406529.4402204459</v>
      </c>
      <c r="G57" s="58">
        <v>206331.7783460684</v>
      </c>
      <c r="H57" s="58">
        <v>0</v>
      </c>
      <c r="I57" s="59">
        <f>SUM(C57:H57)</f>
        <v>7765644.9999999991</v>
      </c>
      <c r="J57" s="153"/>
      <c r="K57" s="60"/>
      <c r="L57" s="58">
        <v>8550.0074703906757</v>
      </c>
      <c r="M57" s="58">
        <v>454644.57199349249</v>
      </c>
      <c r="N57" s="58">
        <v>2098221.6391026312</v>
      </c>
      <c r="O57" s="58">
        <v>1196270.5597795541</v>
      </c>
      <c r="P57" s="58">
        <v>102566.22165393159</v>
      </c>
      <c r="Q57" s="58">
        <v>0</v>
      </c>
      <c r="R57" s="59">
        <f>SUM(L57:Q57)</f>
        <v>3860253.0000000005</v>
      </c>
      <c r="S57" s="153"/>
      <c r="T57" s="61"/>
      <c r="U57" s="68"/>
      <c r="V57" s="68"/>
      <c r="W57" s="68"/>
      <c r="AA57" s="68"/>
      <c r="AB57" s="69"/>
      <c r="AC57" s="68"/>
    </row>
    <row r="58" spans="1:35" s="9" customFormat="1" x14ac:dyDescent="0.25">
      <c r="E58" s="63"/>
      <c r="F58" s="63"/>
      <c r="G58" s="64"/>
      <c r="H58" s="63"/>
      <c r="I58" s="63"/>
      <c r="J58" s="63"/>
      <c r="K58" s="65"/>
      <c r="L58" s="52"/>
      <c r="M58" s="65"/>
      <c r="N58" s="52"/>
      <c r="O58" s="52"/>
      <c r="P58" s="65"/>
      <c r="Q58" s="65"/>
      <c r="R58" s="65"/>
      <c r="S58" s="65"/>
      <c r="T58" s="53"/>
      <c r="U58" s="54"/>
      <c r="V58" s="53"/>
    </row>
    <row r="59" spans="1:35" s="9" customFormat="1" x14ac:dyDescent="0.25">
      <c r="A59" s="56" t="s">
        <v>68</v>
      </c>
      <c r="B59" s="66"/>
      <c r="C59" s="58">
        <v>138786.29948961138</v>
      </c>
      <c r="D59" s="58">
        <v>365288.46517765592</v>
      </c>
      <c r="E59" s="58">
        <v>496730.09175329219</v>
      </c>
      <c r="F59" s="58">
        <v>132219.38767963415</v>
      </c>
      <c r="G59" s="58">
        <v>4475.7558998062814</v>
      </c>
      <c r="H59" s="58">
        <v>0</v>
      </c>
      <c r="I59" s="59">
        <f>SUM(C59:H59)</f>
        <v>1137500</v>
      </c>
      <c r="J59" s="153"/>
      <c r="K59" s="60"/>
      <c r="L59" s="58">
        <v>80831.581021422026</v>
      </c>
      <c r="M59" s="58">
        <v>212750.4247737996</v>
      </c>
      <c r="N59" s="58">
        <v>289304.33915301634</v>
      </c>
      <c r="O59" s="58">
        <v>77006.896121105601</v>
      </c>
      <c r="P59" s="58">
        <v>2606.7589306564059</v>
      </c>
      <c r="Q59" s="58">
        <v>0</v>
      </c>
      <c r="R59" s="59">
        <f>SUM(L59:Q59)</f>
        <v>662500</v>
      </c>
      <c r="S59" s="153"/>
      <c r="T59" s="61"/>
      <c r="W59" s="53"/>
      <c r="Y59" s="53"/>
      <c r="Z59" s="53"/>
      <c r="AD59" s="53"/>
      <c r="AE59" s="54"/>
      <c r="AF59" s="53"/>
    </row>
    <row r="60" spans="1:35" s="9" customFormat="1" ht="36" x14ac:dyDescent="0.25">
      <c r="A60" s="48" t="s">
        <v>60</v>
      </c>
      <c r="B60" s="49" t="s">
        <v>69</v>
      </c>
      <c r="C60" s="50">
        <f>$I$60*(C59/$I$59)</f>
        <v>138786.29948961138</v>
      </c>
      <c r="D60" s="50">
        <f t="shared" ref="D60:H60" si="23">$I$60*(D59/$I$59)</f>
        <v>365288.46517765592</v>
      </c>
      <c r="E60" s="50">
        <f t="shared" si="23"/>
        <v>496730.09175329219</v>
      </c>
      <c r="F60" s="50">
        <f t="shared" si="23"/>
        <v>132219.38767963415</v>
      </c>
      <c r="G60" s="50">
        <f t="shared" si="23"/>
        <v>4475.7558998062814</v>
      </c>
      <c r="H60" s="50">
        <f t="shared" si="23"/>
        <v>0</v>
      </c>
      <c r="I60" s="74">
        <v>1137500</v>
      </c>
      <c r="J60" s="154"/>
      <c r="K60" s="65"/>
      <c r="L60" s="50">
        <f>$R$60*(L59/$R$59)</f>
        <v>73205.960170344479</v>
      </c>
      <c r="M60" s="50">
        <f t="shared" ref="M60:Q60" si="24">$R$60*(M59/$R$59)</f>
        <v>192679.62998381851</v>
      </c>
      <c r="N60" s="50">
        <f t="shared" si="24"/>
        <v>262011.47696876951</v>
      </c>
      <c r="O60" s="50">
        <f t="shared" si="24"/>
        <v>69742.094600246579</v>
      </c>
      <c r="P60" s="50">
        <f t="shared" si="24"/>
        <v>2360.8382768208958</v>
      </c>
      <c r="Q60" s="50">
        <f t="shared" si="24"/>
        <v>0</v>
      </c>
      <c r="R60" s="74">
        <v>600000</v>
      </c>
      <c r="S60" s="154"/>
      <c r="T60">
        <v>331</v>
      </c>
      <c r="U60">
        <v>31</v>
      </c>
      <c r="V60">
        <v>34000</v>
      </c>
      <c r="W60">
        <v>541100</v>
      </c>
      <c r="X60" t="s">
        <v>181</v>
      </c>
      <c r="AA60" s="68"/>
      <c r="AB60" s="69"/>
      <c r="AC60" s="68"/>
    </row>
    <row r="61" spans="1:35" s="9" customFormat="1" ht="15" x14ac:dyDescent="0.25">
      <c r="A61" s="48" t="s">
        <v>41</v>
      </c>
      <c r="B61" s="49" t="s">
        <v>55</v>
      </c>
      <c r="C61" s="50">
        <f>$I$61*(C59/$I$59)</f>
        <v>0</v>
      </c>
      <c r="D61" s="50">
        <f t="shared" ref="D61:H61" si="25">$I$61*(D59/$I$59)</f>
        <v>0</v>
      </c>
      <c r="E61" s="50">
        <f t="shared" si="25"/>
        <v>0</v>
      </c>
      <c r="F61" s="50">
        <f t="shared" si="25"/>
        <v>0</v>
      </c>
      <c r="G61" s="50">
        <f t="shared" si="25"/>
        <v>0</v>
      </c>
      <c r="H61" s="50">
        <f t="shared" si="25"/>
        <v>0</v>
      </c>
      <c r="I61" s="74">
        <v>0</v>
      </c>
      <c r="J61" s="154"/>
      <c r="K61" s="65"/>
      <c r="L61" s="50">
        <f>$R$61*(L59/$R$59)</f>
        <v>7625.6208510775496</v>
      </c>
      <c r="M61" s="50">
        <f t="shared" ref="M61:Q61" si="26">$R$61*(M59/$R$59)</f>
        <v>20070.794789981093</v>
      </c>
      <c r="N61" s="50">
        <f t="shared" si="26"/>
        <v>27292.862184246824</v>
      </c>
      <c r="O61" s="50">
        <f t="shared" si="26"/>
        <v>7264.8015208590186</v>
      </c>
      <c r="P61" s="50">
        <f t="shared" si="26"/>
        <v>245.92065383551</v>
      </c>
      <c r="Q61" s="50">
        <f t="shared" si="26"/>
        <v>0</v>
      </c>
      <c r="R61" s="74">
        <v>62500</v>
      </c>
      <c r="S61" s="154"/>
      <c r="T61">
        <v>379</v>
      </c>
      <c r="U61">
        <v>31</v>
      </c>
      <c r="V61">
        <v>34000</v>
      </c>
      <c r="W61">
        <v>721000</v>
      </c>
      <c r="X61" t="s">
        <v>175</v>
      </c>
      <c r="AA61" s="68"/>
      <c r="AB61" s="69"/>
      <c r="AC61" s="68"/>
    </row>
    <row r="62" spans="1:35" s="9" customFormat="1" x14ac:dyDescent="0.25">
      <c r="C62" s="62"/>
      <c r="D62" s="63"/>
      <c r="E62" s="63"/>
      <c r="F62" s="63"/>
      <c r="G62" s="64"/>
      <c r="H62" s="63"/>
      <c r="I62" s="63"/>
      <c r="J62" s="63"/>
      <c r="K62" s="65"/>
      <c r="L62" s="52"/>
      <c r="M62" s="65"/>
      <c r="N62" s="52"/>
      <c r="O62" s="52"/>
      <c r="P62" s="65"/>
      <c r="Q62" s="65"/>
      <c r="R62" s="65"/>
      <c r="S62" s="65"/>
      <c r="T62" s="53"/>
      <c r="U62" s="54"/>
      <c r="V62" s="53"/>
    </row>
    <row r="63" spans="1:35" s="9" customFormat="1" x14ac:dyDescent="0.25">
      <c r="A63" s="56" t="s">
        <v>70</v>
      </c>
      <c r="B63" s="66"/>
      <c r="C63" s="58">
        <v>15903.203391003799</v>
      </c>
      <c r="D63" s="58">
        <v>25470.206220673866</v>
      </c>
      <c r="E63" s="58">
        <v>201639.41558262613</v>
      </c>
      <c r="F63" s="58">
        <v>1387998.0389887481</v>
      </c>
      <c r="G63" s="58">
        <v>29249.135816947844</v>
      </c>
      <c r="H63" s="58">
        <v>0</v>
      </c>
      <c r="I63" s="59">
        <f>SUM(C63:H63)</f>
        <v>1660259.9999999998</v>
      </c>
      <c r="J63" s="153"/>
      <c r="K63" s="60"/>
      <c r="L63" s="58">
        <v>15903.203391003799</v>
      </c>
      <c r="M63" s="58">
        <v>25470.206220673866</v>
      </c>
      <c r="N63" s="58">
        <v>201639.41558262613</v>
      </c>
      <c r="O63" s="58">
        <v>1387998.0389887481</v>
      </c>
      <c r="P63" s="58">
        <v>29249.135816947844</v>
      </c>
      <c r="Q63" s="58">
        <v>0</v>
      </c>
      <c r="R63" s="59">
        <f>SUM(L63:Q63)</f>
        <v>1660259.9999999998</v>
      </c>
      <c r="S63" s="153"/>
      <c r="T63" s="61"/>
      <c r="Z63" s="68"/>
      <c r="AB63" s="68"/>
      <c r="AC63" s="68"/>
      <c r="AG63" s="68"/>
      <c r="AH63" s="69"/>
      <c r="AI63" s="68"/>
    </row>
    <row r="64" spans="1:35" s="9" customFormat="1" ht="72" x14ac:dyDescent="0.25">
      <c r="A64" s="48" t="s">
        <v>60</v>
      </c>
      <c r="B64" s="73" t="s">
        <v>71</v>
      </c>
      <c r="C64" s="50">
        <f>$I$64*(C63/$I$63)</f>
        <v>5619.4652050680561</v>
      </c>
      <c r="D64" s="50">
        <f t="shared" ref="D64:H64" si="27">$I$64*(D63/$I$63)</f>
        <v>9000.0067347406621</v>
      </c>
      <c r="E64" s="50">
        <f t="shared" si="27"/>
        <v>71250.153316771743</v>
      </c>
      <c r="F64" s="50">
        <f t="shared" si="27"/>
        <v>490455.06700946781</v>
      </c>
      <c r="G64" s="50">
        <f t="shared" si="27"/>
        <v>10335.307733951686</v>
      </c>
      <c r="H64" s="50">
        <f t="shared" si="27"/>
        <v>0</v>
      </c>
      <c r="I64" s="74">
        <v>586660</v>
      </c>
      <c r="J64" s="154"/>
      <c r="K64" s="65"/>
      <c r="L64" s="50">
        <f>$R$64*(L63/$R$63)</f>
        <v>5619.4652050680561</v>
      </c>
      <c r="M64" s="50">
        <f t="shared" ref="M64:Q64" si="28">$R$64*(M63/$R$63)</f>
        <v>9000.0067347406621</v>
      </c>
      <c r="N64" s="50">
        <f t="shared" si="28"/>
        <v>71250.153316771743</v>
      </c>
      <c r="O64" s="50">
        <f t="shared" si="28"/>
        <v>490455.06700946781</v>
      </c>
      <c r="P64" s="50">
        <f t="shared" si="28"/>
        <v>10335.307733951686</v>
      </c>
      <c r="Q64" s="50">
        <f t="shared" si="28"/>
        <v>0</v>
      </c>
      <c r="R64" s="74">
        <v>586660</v>
      </c>
      <c r="S64" s="154"/>
      <c r="T64">
        <v>344</v>
      </c>
      <c r="U64">
        <v>31</v>
      </c>
      <c r="V64">
        <v>34000</v>
      </c>
      <c r="W64" t="s">
        <v>182</v>
      </c>
      <c r="X64" t="s">
        <v>183</v>
      </c>
      <c r="AA64" s="68"/>
      <c r="AB64" s="69"/>
      <c r="AC64" s="68"/>
    </row>
    <row r="65" spans="1:35" s="9" customFormat="1" ht="15" x14ac:dyDescent="0.25">
      <c r="A65" s="48" t="s">
        <v>41</v>
      </c>
      <c r="B65" s="49" t="s">
        <v>72</v>
      </c>
      <c r="C65" s="50">
        <f>$I$65*(C63/$I$63)</f>
        <v>10283.738185935747</v>
      </c>
      <c r="D65" s="50">
        <f t="shared" ref="D65:H65" si="29">$I$65*(D63/$I$63)</f>
        <v>16470.199485933208</v>
      </c>
      <c r="E65" s="50">
        <f t="shared" si="29"/>
        <v>130389.26226585441</v>
      </c>
      <c r="F65" s="50">
        <f t="shared" si="29"/>
        <v>897542.97197928035</v>
      </c>
      <c r="G65" s="50">
        <f t="shared" si="29"/>
        <v>18913.828082996162</v>
      </c>
      <c r="H65" s="50">
        <f t="shared" si="29"/>
        <v>0</v>
      </c>
      <c r="I65" s="74">
        <v>1073600</v>
      </c>
      <c r="J65" s="154"/>
      <c r="K65" s="65"/>
      <c r="L65" s="50">
        <f>$R$65*(L63/$R$63)</f>
        <v>10283.738185935747</v>
      </c>
      <c r="M65" s="50">
        <f t="shared" ref="M65:Q65" si="30">$R$65*(M63/$R$63)</f>
        <v>16470.199485933208</v>
      </c>
      <c r="N65" s="50">
        <f t="shared" si="30"/>
        <v>130389.26226585441</v>
      </c>
      <c r="O65" s="50">
        <f t="shared" si="30"/>
        <v>897542.97197928035</v>
      </c>
      <c r="P65" s="50">
        <f t="shared" si="30"/>
        <v>18913.828082996162</v>
      </c>
      <c r="Q65" s="50">
        <f t="shared" si="30"/>
        <v>0</v>
      </c>
      <c r="R65" s="74">
        <v>1073600</v>
      </c>
      <c r="S65" s="154"/>
      <c r="T65">
        <v>379</v>
      </c>
      <c r="U65">
        <v>31</v>
      </c>
      <c r="V65">
        <v>34000</v>
      </c>
      <c r="W65">
        <v>721000</v>
      </c>
      <c r="X65" t="s">
        <v>175</v>
      </c>
      <c r="AA65" s="68"/>
      <c r="AB65" s="69"/>
      <c r="AC65" s="68"/>
    </row>
    <row r="66" spans="1:35" s="9" customFormat="1" x14ac:dyDescent="0.25">
      <c r="C66" s="62"/>
      <c r="D66" s="63"/>
      <c r="E66" s="63"/>
      <c r="F66" s="63"/>
      <c r="G66" s="64"/>
      <c r="H66" s="63"/>
      <c r="I66" s="63"/>
      <c r="J66" s="63"/>
      <c r="K66" s="65"/>
      <c r="L66" s="52"/>
      <c r="M66" s="65"/>
      <c r="N66" s="52"/>
      <c r="O66" s="52"/>
      <c r="P66" s="65"/>
      <c r="Q66" s="65"/>
      <c r="R66" s="65"/>
      <c r="S66" s="65"/>
      <c r="T66" s="53"/>
      <c r="U66" s="54"/>
      <c r="V66" s="53"/>
    </row>
    <row r="67" spans="1:35" s="9" customFormat="1" ht="84" x14ac:dyDescent="0.25">
      <c r="A67" s="56" t="s">
        <v>73</v>
      </c>
      <c r="B67" s="66" t="s">
        <v>74</v>
      </c>
      <c r="C67" s="58">
        <v>0</v>
      </c>
      <c r="D67" s="58">
        <v>0</v>
      </c>
      <c r="E67" s="58">
        <v>0</v>
      </c>
      <c r="F67" s="58">
        <v>48757.8</v>
      </c>
      <c r="G67" s="58">
        <v>141141.00000000003</v>
      </c>
      <c r="H67" s="58">
        <v>51324.000000000007</v>
      </c>
      <c r="I67" s="59">
        <f>SUM(C67:H67)</f>
        <v>241222.80000000005</v>
      </c>
      <c r="J67" s="153"/>
      <c r="K67" s="60"/>
      <c r="L67" s="58">
        <v>0</v>
      </c>
      <c r="M67" s="58">
        <v>0</v>
      </c>
      <c r="N67" s="58">
        <v>0</v>
      </c>
      <c r="O67" s="58">
        <v>40542.159574468082</v>
      </c>
      <c r="P67" s="58">
        <v>117358.88297872341</v>
      </c>
      <c r="Q67" s="58">
        <v>42675.957446808512</v>
      </c>
      <c r="R67" s="59">
        <f t="shared" ref="R67" si="31">SUM(L67:Q67)</f>
        <v>200577</v>
      </c>
      <c r="S67" s="153"/>
      <c r="T67">
        <v>347</v>
      </c>
      <c r="U67">
        <v>31</v>
      </c>
      <c r="V67">
        <v>34000</v>
      </c>
      <c r="W67">
        <v>561700</v>
      </c>
      <c r="X67" t="s">
        <v>179</v>
      </c>
      <c r="Z67" s="68"/>
      <c r="AA67" s="68"/>
      <c r="AE67" s="68"/>
      <c r="AF67" s="69"/>
      <c r="AG67" s="68"/>
    </row>
    <row r="68" spans="1:35" s="9" customFormat="1" ht="15" x14ac:dyDescent="0.25">
      <c r="A68" s="48" t="s">
        <v>75</v>
      </c>
      <c r="B68" s="73" t="s">
        <v>76</v>
      </c>
      <c r="C68" s="50">
        <f>$I$68*(C67/$I$67)</f>
        <v>0</v>
      </c>
      <c r="D68" s="50">
        <f t="shared" ref="D68:H68" si="32">$I$68*(D67/$I$67)</f>
        <v>0</v>
      </c>
      <c r="E68" s="50">
        <f t="shared" si="32"/>
        <v>0</v>
      </c>
      <c r="F68" s="50">
        <f>$I$68*(F67/$I$67)</f>
        <v>25935</v>
      </c>
      <c r="G68" s="50">
        <f t="shared" si="32"/>
        <v>75075.000000000015</v>
      </c>
      <c r="H68" s="50">
        <f t="shared" si="32"/>
        <v>27300.000000000004</v>
      </c>
      <c r="I68" s="51">
        <v>128310.00000000001</v>
      </c>
      <c r="J68" s="151"/>
      <c r="K68" s="52"/>
      <c r="L68" s="50">
        <f>$R$68*(L67/$R$67)</f>
        <v>0</v>
      </c>
      <c r="M68" s="50">
        <f t="shared" ref="M68:Q68" si="33">$R$68*(M67/$R$67)</f>
        <v>0</v>
      </c>
      <c r="N68" s="50">
        <f t="shared" si="33"/>
        <v>0</v>
      </c>
      <c r="O68" s="50">
        <f t="shared" si="33"/>
        <v>21564.999999999996</v>
      </c>
      <c r="P68" s="50">
        <f t="shared" si="33"/>
        <v>62424.999999999993</v>
      </c>
      <c r="Q68" s="50">
        <f t="shared" si="33"/>
        <v>22699.999999999996</v>
      </c>
      <c r="R68" s="51">
        <v>106689.99999999999</v>
      </c>
      <c r="S68" s="151"/>
      <c r="T68">
        <v>347</v>
      </c>
      <c r="U68">
        <v>31</v>
      </c>
      <c r="V68">
        <v>34000</v>
      </c>
      <c r="W68">
        <v>561700</v>
      </c>
      <c r="X68" t="s">
        <v>179</v>
      </c>
      <c r="Z68" s="53"/>
      <c r="AA68" s="53"/>
      <c r="AE68" s="53"/>
      <c r="AF68" s="54"/>
      <c r="AG68" s="53"/>
    </row>
    <row r="69" spans="1:35" s="9" customFormat="1" ht="15" x14ac:dyDescent="0.25">
      <c r="A69" s="48" t="s">
        <v>77</v>
      </c>
      <c r="B69" s="73" t="s">
        <v>78</v>
      </c>
      <c r="C69" s="50">
        <f>$I$69*(C67/$I$67)</f>
        <v>0</v>
      </c>
      <c r="D69" s="50">
        <f t="shared" ref="D69:H69" si="34">$I$69*(D67/$I$67)</f>
        <v>0</v>
      </c>
      <c r="E69" s="50">
        <f t="shared" si="34"/>
        <v>0</v>
      </c>
      <c r="F69" s="50">
        <f>$I$69*(F67/$I$67)</f>
        <v>4149.6000000000013</v>
      </c>
      <c r="G69" s="50">
        <f t="shared" si="34"/>
        <v>12012.000000000004</v>
      </c>
      <c r="H69" s="50">
        <f t="shared" si="34"/>
        <v>4368.0000000000009</v>
      </c>
      <c r="I69" s="51">
        <v>20529.600000000006</v>
      </c>
      <c r="J69" s="151"/>
      <c r="K69" s="52"/>
      <c r="L69" s="50">
        <f>$R$69*(L67/$R$67)</f>
        <v>0</v>
      </c>
      <c r="M69" s="50">
        <f t="shared" ref="M69:Q69" si="35">$R$69*(M67/$R$67)</f>
        <v>0</v>
      </c>
      <c r="N69" s="50">
        <f t="shared" si="35"/>
        <v>0</v>
      </c>
      <c r="O69" s="50">
        <f t="shared" si="35"/>
        <v>3450.4</v>
      </c>
      <c r="P69" s="50">
        <f t="shared" si="35"/>
        <v>9988.0000000000018</v>
      </c>
      <c r="Q69" s="50">
        <f t="shared" si="35"/>
        <v>3632.0000000000005</v>
      </c>
      <c r="R69" s="51">
        <v>17070.400000000001</v>
      </c>
      <c r="S69" s="151"/>
      <c r="T69">
        <v>328</v>
      </c>
      <c r="U69">
        <v>31</v>
      </c>
      <c r="V69">
        <v>34000</v>
      </c>
      <c r="W69">
        <v>532400</v>
      </c>
      <c r="X69" t="s">
        <v>184</v>
      </c>
      <c r="Y69" s="53"/>
      <c r="AC69" s="53"/>
      <c r="AD69" s="54"/>
      <c r="AE69" s="53"/>
    </row>
    <row r="70" spans="1:35" s="9" customFormat="1" ht="15" x14ac:dyDescent="0.25">
      <c r="A70" s="48" t="s">
        <v>79</v>
      </c>
      <c r="B70" s="73" t="s">
        <v>80</v>
      </c>
      <c r="C70" s="50">
        <f>$I$70*(C67/$I$67)</f>
        <v>0</v>
      </c>
      <c r="D70" s="50">
        <f t="shared" ref="D70:H70" si="36">$I$70*(D67/$I$67)</f>
        <v>0</v>
      </c>
      <c r="E70" s="50">
        <f t="shared" si="36"/>
        <v>0</v>
      </c>
      <c r="F70" s="50">
        <f>$I$70*(F67/$I$67)</f>
        <v>18673.199999999997</v>
      </c>
      <c r="G70" s="50">
        <f t="shared" si="36"/>
        <v>54054</v>
      </c>
      <c r="H70" s="50">
        <f t="shared" si="36"/>
        <v>19656</v>
      </c>
      <c r="I70" s="51">
        <v>92383.2</v>
      </c>
      <c r="J70" s="151"/>
      <c r="K70" s="52"/>
      <c r="L70" s="50">
        <f>$R$70*(L67/$R$67)</f>
        <v>0</v>
      </c>
      <c r="M70" s="50">
        <f t="shared" ref="M70:Q70" si="37">$R$70*(M67/$R$67)</f>
        <v>0</v>
      </c>
      <c r="N70" s="50">
        <f t="shared" si="37"/>
        <v>0</v>
      </c>
      <c r="O70" s="50">
        <f t="shared" si="37"/>
        <v>15526.799999999994</v>
      </c>
      <c r="P70" s="50">
        <f t="shared" si="37"/>
        <v>44945.999999999985</v>
      </c>
      <c r="Q70" s="50">
        <f t="shared" si="37"/>
        <v>16343.999999999995</v>
      </c>
      <c r="R70" s="51">
        <v>76816.799999999974</v>
      </c>
      <c r="S70" s="151"/>
      <c r="T70">
        <v>286</v>
      </c>
      <c r="U70">
        <v>31</v>
      </c>
      <c r="V70">
        <v>34000</v>
      </c>
      <c r="W70">
        <v>444000</v>
      </c>
      <c r="X70" s="164" t="s">
        <v>185</v>
      </c>
      <c r="Y70" s="53"/>
      <c r="AC70" s="53"/>
      <c r="AD70" s="54"/>
      <c r="AE70" s="53"/>
    </row>
    <row r="71" spans="1:35" s="9" customFormat="1" x14ac:dyDescent="0.25">
      <c r="A71" s="75"/>
      <c r="B71" s="76"/>
      <c r="C71" s="63"/>
      <c r="D71" s="52"/>
      <c r="E71" s="63"/>
      <c r="F71" s="63"/>
      <c r="G71" s="63"/>
      <c r="H71" s="63"/>
      <c r="I71" s="63"/>
      <c r="J71" s="63"/>
      <c r="K71" s="63"/>
      <c r="L71" s="63"/>
      <c r="M71" s="52"/>
      <c r="N71" s="63"/>
      <c r="O71" s="63"/>
      <c r="P71" s="63"/>
      <c r="Q71" s="63"/>
      <c r="R71" s="63"/>
      <c r="S71" s="63"/>
      <c r="T71" s="77"/>
      <c r="Y71" s="53"/>
      <c r="Z71" s="53"/>
      <c r="AD71" s="53"/>
      <c r="AE71" s="54"/>
      <c r="AF71" s="53"/>
    </row>
    <row r="72" spans="1:35" s="9" customFormat="1" ht="15" x14ac:dyDescent="0.25">
      <c r="A72" s="78" t="s">
        <v>81</v>
      </c>
      <c r="B72" s="66" t="s">
        <v>55</v>
      </c>
      <c r="C72" s="79">
        <v>46862.2</v>
      </c>
      <c r="D72" s="79">
        <v>55500.05</v>
      </c>
      <c r="E72" s="79">
        <v>62367.25</v>
      </c>
      <c r="F72" s="79">
        <v>64500.000000000007</v>
      </c>
      <c r="G72" s="79">
        <v>23349.599999999999</v>
      </c>
      <c r="H72" s="79">
        <v>1000</v>
      </c>
      <c r="I72" s="59">
        <f>SUM(C72:H72)</f>
        <v>253579.1</v>
      </c>
      <c r="J72" s="153"/>
      <c r="K72" s="60"/>
      <c r="L72" s="58">
        <v>46862.2</v>
      </c>
      <c r="M72" s="58">
        <v>55500.05</v>
      </c>
      <c r="N72" s="58">
        <v>62367.25</v>
      </c>
      <c r="O72" s="58">
        <v>64500.000000000007</v>
      </c>
      <c r="P72" s="58">
        <v>23349.599999999999</v>
      </c>
      <c r="Q72" s="58">
        <v>1000</v>
      </c>
      <c r="R72" s="59">
        <f>SUM(L72:Q72)</f>
        <v>253579.1</v>
      </c>
      <c r="S72" s="153"/>
      <c r="T72">
        <v>379</v>
      </c>
      <c r="U72">
        <v>31</v>
      </c>
      <c r="V72">
        <v>34000</v>
      </c>
      <c r="W72">
        <v>721000</v>
      </c>
      <c r="X72" t="s">
        <v>175</v>
      </c>
      <c r="Z72" s="68"/>
      <c r="AB72" s="68"/>
      <c r="AC72" s="68"/>
      <c r="AG72" s="68"/>
      <c r="AH72" s="69"/>
      <c r="AI72" s="68"/>
    </row>
    <row r="73" spans="1:35" s="80" customFormat="1" ht="14.25" x14ac:dyDescent="0.25">
      <c r="C73" s="81"/>
      <c r="D73" s="81"/>
      <c r="E73" s="81"/>
      <c r="F73" s="81"/>
      <c r="G73" s="82"/>
      <c r="H73" s="82"/>
      <c r="I73" s="82"/>
      <c r="J73" s="82"/>
      <c r="K73" s="81"/>
      <c r="L73" s="81"/>
      <c r="M73" s="81"/>
      <c r="N73" s="81"/>
      <c r="O73" s="83"/>
      <c r="P73" s="84"/>
      <c r="Q73" s="85"/>
      <c r="R73" s="86"/>
      <c r="S73" s="177"/>
    </row>
    <row r="74" spans="1:35" s="172" customFormat="1" x14ac:dyDescent="0.25">
      <c r="A74" s="165" t="s">
        <v>82</v>
      </c>
      <c r="B74" s="166" t="s">
        <v>83</v>
      </c>
      <c r="C74" s="167">
        <v>0</v>
      </c>
      <c r="D74" s="167">
        <v>0</v>
      </c>
      <c r="E74" s="167">
        <v>0</v>
      </c>
      <c r="F74" s="167">
        <v>4652900</v>
      </c>
      <c r="G74" s="167">
        <v>662644.94999999995</v>
      </c>
      <c r="H74" s="167">
        <v>0</v>
      </c>
      <c r="I74" s="168">
        <f>SUM(C74:H74)</f>
        <v>5315544.95</v>
      </c>
      <c r="J74" s="169"/>
      <c r="K74" s="170"/>
      <c r="L74" s="167">
        <v>0</v>
      </c>
      <c r="M74" s="167">
        <v>0</v>
      </c>
      <c r="N74" s="167">
        <v>0</v>
      </c>
      <c r="O74" s="167">
        <v>3641400</v>
      </c>
      <c r="P74" s="167">
        <v>518591.69999999995</v>
      </c>
      <c r="Q74" s="167">
        <v>0</v>
      </c>
      <c r="R74" s="168">
        <f>SUM(L74:Q74)</f>
        <v>4159991.7</v>
      </c>
      <c r="S74" s="169"/>
      <c r="T74" s="171"/>
      <c r="Z74" s="173"/>
      <c r="AB74" s="173"/>
      <c r="AC74" s="173"/>
      <c r="AG74" s="173"/>
      <c r="AH74" s="174"/>
      <c r="AI74" s="173"/>
    </row>
    <row r="75" spans="1:35" s="80" customFormat="1" ht="14.25" x14ac:dyDescent="0.25">
      <c r="C75" s="81"/>
      <c r="D75" s="81"/>
      <c r="E75" s="81"/>
      <c r="F75" s="81"/>
      <c r="G75" s="82"/>
      <c r="H75" s="82"/>
      <c r="I75" s="82"/>
      <c r="J75" s="82"/>
      <c r="K75" s="81"/>
      <c r="L75" s="81"/>
      <c r="M75" s="81"/>
      <c r="N75" s="81"/>
      <c r="O75" s="83"/>
      <c r="P75" s="84"/>
      <c r="Q75" s="85"/>
      <c r="R75" s="86"/>
      <c r="S75" s="177"/>
    </row>
    <row r="76" spans="1:35" s="9" customFormat="1" ht="15" x14ac:dyDescent="0.25">
      <c r="A76" s="56" t="s">
        <v>84</v>
      </c>
      <c r="B76" s="66" t="s">
        <v>85</v>
      </c>
      <c r="C76" s="58">
        <v>0</v>
      </c>
      <c r="D76" s="58">
        <v>0</v>
      </c>
      <c r="E76" s="58">
        <v>0</v>
      </c>
      <c r="F76" s="58">
        <v>0</v>
      </c>
      <c r="G76" s="58">
        <f>SUM(G77:G83)</f>
        <v>1981691.7461280604</v>
      </c>
      <c r="H76" s="58">
        <f>G76+250000</f>
        <v>2231691.7461280604</v>
      </c>
      <c r="I76" s="59">
        <f>SUM(C76:H76)</f>
        <v>4213383.4922561208</v>
      </c>
      <c r="J76" s="153"/>
      <c r="K76" s="60"/>
      <c r="L76" s="58">
        <v>0</v>
      </c>
      <c r="M76" s="58">
        <v>0</v>
      </c>
      <c r="N76" s="58">
        <v>0</v>
      </c>
      <c r="O76" s="58">
        <v>0</v>
      </c>
      <c r="P76" s="58">
        <v>70000</v>
      </c>
      <c r="Q76" s="58">
        <f>P76</f>
        <v>70000</v>
      </c>
      <c r="R76" s="59">
        <f>SUM(L76:Q76)</f>
        <v>140000</v>
      </c>
      <c r="S76" s="153"/>
      <c r="T76">
        <v>402</v>
      </c>
      <c r="U76">
        <v>31</v>
      </c>
      <c r="V76">
        <v>34000</v>
      </c>
      <c r="W76" t="s">
        <v>186</v>
      </c>
      <c r="X76" t="s">
        <v>187</v>
      </c>
      <c r="Z76" s="68"/>
      <c r="AB76" s="68"/>
      <c r="AC76" s="68"/>
      <c r="AG76" s="68"/>
      <c r="AH76" s="69"/>
      <c r="AI76" s="68"/>
    </row>
    <row r="77" spans="1:35" s="9" customFormat="1" x14ac:dyDescent="0.25">
      <c r="A77" s="87" t="s">
        <v>86</v>
      </c>
      <c r="B77" s="73" t="s">
        <v>87</v>
      </c>
      <c r="C77" s="51"/>
      <c r="D77" s="51"/>
      <c r="E77" s="51"/>
      <c r="F77" s="51"/>
      <c r="G77" s="88">
        <v>887475.31354245462</v>
      </c>
      <c r="H77" s="51">
        <f>$H$76*(G77/$G$76)</f>
        <v>999434.6174145696</v>
      </c>
      <c r="I77" s="51">
        <f>G77+H77</f>
        <v>1886909.9309570242</v>
      </c>
      <c r="J77" s="151"/>
      <c r="K77" s="60"/>
      <c r="L77" s="51"/>
      <c r="M77" s="51"/>
      <c r="N77" s="51"/>
      <c r="O77" s="51"/>
      <c r="P77" s="88"/>
      <c r="Q77" s="51"/>
      <c r="R77" s="74"/>
      <c r="S77" s="154"/>
      <c r="T77" s="61"/>
      <c r="Z77" s="68"/>
      <c r="AB77" s="68"/>
      <c r="AC77" s="68"/>
      <c r="AG77" s="68"/>
      <c r="AH77" s="69"/>
      <c r="AI77" s="68"/>
    </row>
    <row r="78" spans="1:35" s="9" customFormat="1" x14ac:dyDescent="0.25">
      <c r="A78" s="87" t="s">
        <v>88</v>
      </c>
      <c r="B78" s="73" t="s">
        <v>87</v>
      </c>
      <c r="C78" s="51"/>
      <c r="D78" s="51"/>
      <c r="E78" s="51"/>
      <c r="F78" s="51"/>
      <c r="G78" s="88">
        <v>128172.90650992873</v>
      </c>
      <c r="H78" s="51">
        <f t="shared" ref="H78:H83" si="38">$H$76*(G78/$G$76)</f>
        <v>144342.53868914634</v>
      </c>
      <c r="I78" s="51">
        <f t="shared" ref="I78:I83" si="39">G78+H78</f>
        <v>272515.44519907504</v>
      </c>
      <c r="J78" s="151"/>
      <c r="K78" s="60"/>
      <c r="L78" s="51"/>
      <c r="M78" s="51"/>
      <c r="N78" s="51"/>
      <c r="O78" s="51"/>
      <c r="P78" s="88"/>
      <c r="Q78" s="51"/>
      <c r="R78" s="74"/>
      <c r="S78" s="154"/>
      <c r="T78" s="61"/>
      <c r="Z78" s="68"/>
      <c r="AB78" s="68"/>
      <c r="AC78" s="68"/>
      <c r="AG78" s="68"/>
      <c r="AH78" s="69"/>
      <c r="AI78" s="68"/>
    </row>
    <row r="79" spans="1:35" s="9" customFormat="1" x14ac:dyDescent="0.25">
      <c r="A79" s="87" t="s">
        <v>89</v>
      </c>
      <c r="B79" s="73" t="s">
        <v>90</v>
      </c>
      <c r="C79" s="51"/>
      <c r="D79" s="51"/>
      <c r="E79" s="51"/>
      <c r="F79" s="51"/>
      <c r="G79" s="88">
        <v>161695.24120922302</v>
      </c>
      <c r="H79" s="51">
        <f t="shared" si="38"/>
        <v>182093.87807153424</v>
      </c>
      <c r="I79" s="51">
        <f t="shared" si="39"/>
        <v>343789.11928075727</v>
      </c>
      <c r="J79" s="151"/>
      <c r="K79" s="60"/>
      <c r="L79" s="51"/>
      <c r="M79" s="51"/>
      <c r="N79" s="51"/>
      <c r="O79" s="51"/>
      <c r="P79" s="88"/>
      <c r="Q79" s="51"/>
      <c r="R79" s="74"/>
      <c r="S79" s="154"/>
      <c r="T79" s="61"/>
      <c r="Z79" s="68"/>
      <c r="AB79" s="68"/>
      <c r="AC79" s="68"/>
      <c r="AG79" s="68"/>
      <c r="AH79" s="69"/>
      <c r="AI79" s="68"/>
    </row>
    <row r="80" spans="1:35" s="9" customFormat="1" x14ac:dyDescent="0.25">
      <c r="A80" s="87" t="s">
        <v>91</v>
      </c>
      <c r="B80" s="73" t="s">
        <v>90</v>
      </c>
      <c r="C80" s="51"/>
      <c r="D80" s="51"/>
      <c r="E80" s="51"/>
      <c r="F80" s="51"/>
      <c r="G80" s="88">
        <v>499501.14023484377</v>
      </c>
      <c r="H80" s="51">
        <f t="shared" si="38"/>
        <v>562515.62535983825</v>
      </c>
      <c r="I80" s="51">
        <f t="shared" si="39"/>
        <v>1062016.765594682</v>
      </c>
      <c r="J80" s="151"/>
      <c r="K80" s="60"/>
      <c r="L80" s="51"/>
      <c r="M80" s="51"/>
      <c r="N80" s="51"/>
      <c r="O80" s="51"/>
      <c r="P80" s="88"/>
      <c r="Q80" s="51"/>
      <c r="R80" s="74"/>
      <c r="S80" s="154"/>
      <c r="T80" s="61"/>
      <c r="Z80" s="68"/>
      <c r="AB80" s="68"/>
      <c r="AC80" s="68"/>
      <c r="AG80" s="68"/>
      <c r="AH80" s="69"/>
      <c r="AI80" s="68"/>
    </row>
    <row r="81" spans="1:36" s="9" customFormat="1" x14ac:dyDescent="0.25">
      <c r="A81" s="87" t="s">
        <v>92</v>
      </c>
      <c r="B81" s="73" t="s">
        <v>93</v>
      </c>
      <c r="C81" s="51"/>
      <c r="D81" s="51"/>
      <c r="E81" s="51"/>
      <c r="F81" s="51"/>
      <c r="G81" s="88">
        <v>123573.83389593265</v>
      </c>
      <c r="H81" s="51">
        <f t="shared" si="38"/>
        <v>139163.27081736331</v>
      </c>
      <c r="I81" s="51">
        <f t="shared" si="39"/>
        <v>262737.10471329594</v>
      </c>
      <c r="J81" s="151"/>
      <c r="K81" s="60"/>
      <c r="L81" s="51"/>
      <c r="M81" s="51"/>
      <c r="N81" s="51"/>
      <c r="O81" s="51"/>
      <c r="P81" s="88"/>
      <c r="Q81" s="51"/>
      <c r="R81" s="74"/>
      <c r="S81" s="154"/>
      <c r="T81" s="61"/>
      <c r="Z81" s="68"/>
      <c r="AB81" s="68"/>
      <c r="AC81" s="68"/>
      <c r="AG81" s="68"/>
      <c r="AH81" s="69"/>
      <c r="AI81" s="68"/>
    </row>
    <row r="82" spans="1:36" s="9" customFormat="1" x14ac:dyDescent="0.25">
      <c r="A82" s="87" t="s">
        <v>92</v>
      </c>
      <c r="B82" s="73" t="s">
        <v>94</v>
      </c>
      <c r="C82" s="50"/>
      <c r="D82" s="50"/>
      <c r="E82" s="50"/>
      <c r="F82" s="50"/>
      <c r="G82" s="88">
        <v>95419.716448320003</v>
      </c>
      <c r="H82" s="51">
        <f t="shared" si="38"/>
        <v>107457.37526114449</v>
      </c>
      <c r="I82" s="51">
        <f t="shared" si="39"/>
        <v>202877.0917094645</v>
      </c>
      <c r="J82" s="151"/>
      <c r="K82" s="52"/>
      <c r="L82" s="50"/>
      <c r="M82" s="50"/>
      <c r="N82" s="50"/>
      <c r="O82" s="50"/>
      <c r="P82" s="88"/>
      <c r="Q82" s="50"/>
      <c r="R82" s="50"/>
      <c r="S82" s="152"/>
      <c r="T82" s="53"/>
      <c r="W82" s="53"/>
      <c r="X82" s="53"/>
      <c r="AB82" s="53"/>
      <c r="AC82" s="54"/>
      <c r="AD82" s="53"/>
    </row>
    <row r="83" spans="1:36" s="9" customFormat="1" x14ac:dyDescent="0.25">
      <c r="A83" s="87" t="s">
        <v>88</v>
      </c>
      <c r="B83" s="73" t="s">
        <v>95</v>
      </c>
      <c r="C83" s="50"/>
      <c r="D83" s="50"/>
      <c r="E83" s="50"/>
      <c r="F83" s="50"/>
      <c r="G83" s="88">
        <v>85853.594287357599</v>
      </c>
      <c r="H83" s="51">
        <f t="shared" si="38"/>
        <v>96684.440514464193</v>
      </c>
      <c r="I83" s="51">
        <f t="shared" si="39"/>
        <v>182538.03480182181</v>
      </c>
      <c r="J83" s="151"/>
      <c r="K83" s="52"/>
      <c r="L83" s="50"/>
      <c r="M83" s="50"/>
      <c r="N83" s="50"/>
      <c r="O83" s="50"/>
      <c r="P83" s="88"/>
      <c r="Q83" s="50"/>
      <c r="R83" s="50"/>
      <c r="S83" s="152"/>
      <c r="T83" s="53"/>
      <c r="W83" s="53"/>
      <c r="X83" s="53"/>
      <c r="AB83" s="53"/>
      <c r="AC83" s="54"/>
      <c r="AD83" s="53"/>
    </row>
    <row r="84" spans="1:36" s="9" customFormat="1" x14ac:dyDescent="0.25">
      <c r="A84" s="89"/>
      <c r="C84" s="63"/>
      <c r="D84" s="63"/>
      <c r="E84" s="63"/>
      <c r="F84" s="63"/>
      <c r="G84" s="63"/>
      <c r="H84" s="63"/>
      <c r="I84" s="63"/>
      <c r="J84" s="63"/>
      <c r="K84" s="52"/>
      <c r="L84" s="63"/>
      <c r="M84" s="63"/>
      <c r="N84" s="63"/>
      <c r="O84" s="63"/>
      <c r="P84" s="63"/>
      <c r="Q84" s="63"/>
      <c r="R84" s="65"/>
      <c r="S84" s="65"/>
      <c r="T84" s="53"/>
      <c r="W84" s="53"/>
      <c r="X84" s="53"/>
      <c r="AB84" s="53"/>
      <c r="AC84" s="54"/>
      <c r="AD84" s="53"/>
    </row>
    <row r="85" spans="1:36" s="9" customFormat="1" x14ac:dyDescent="0.25">
      <c r="A85" s="56" t="s">
        <v>96</v>
      </c>
      <c r="B85" s="57"/>
      <c r="C85" s="90">
        <f>SUM(C86:C89)</f>
        <v>0</v>
      </c>
      <c r="D85" s="90">
        <f t="shared" ref="D85:H85" si="40">SUM(D86:D89)</f>
        <v>0</v>
      </c>
      <c r="E85" s="90">
        <f t="shared" si="40"/>
        <v>1952183.8964287352</v>
      </c>
      <c r="F85" s="90">
        <f t="shared" si="40"/>
        <v>31647204.780614901</v>
      </c>
      <c r="G85" s="90">
        <f t="shared" si="40"/>
        <v>1911521.2396563645</v>
      </c>
      <c r="H85" s="90">
        <f t="shared" si="40"/>
        <v>0</v>
      </c>
      <c r="I85" s="91">
        <f>SUM(I86:I89)</f>
        <v>35510909.916700006</v>
      </c>
      <c r="J85" s="155"/>
      <c r="K85" s="60"/>
      <c r="L85" s="90">
        <f>SUM(L86:L89)</f>
        <v>0</v>
      </c>
      <c r="M85" s="90">
        <f t="shared" ref="M85:Q85" si="41">SUM(M86:M89)</f>
        <v>0</v>
      </c>
      <c r="N85" s="90">
        <f t="shared" si="41"/>
        <v>1682348.1484602275</v>
      </c>
      <c r="O85" s="90">
        <f t="shared" si="41"/>
        <v>27272848.866342813</v>
      </c>
      <c r="P85" s="90">
        <f t="shared" si="41"/>
        <v>1647305.9859582125</v>
      </c>
      <c r="Q85" s="90">
        <f t="shared" si="41"/>
        <v>0</v>
      </c>
      <c r="R85" s="91">
        <f>SUM(R86:R89)</f>
        <v>30602503.000761256</v>
      </c>
      <c r="S85" s="155"/>
      <c r="T85" s="61"/>
      <c r="Z85" s="68"/>
      <c r="AB85" s="68"/>
      <c r="AC85" s="68"/>
      <c r="AG85" s="68"/>
      <c r="AH85" s="69"/>
      <c r="AI85" s="68"/>
    </row>
    <row r="86" spans="1:36" s="9" customFormat="1" ht="15" x14ac:dyDescent="0.25">
      <c r="A86" s="92" t="s">
        <v>97</v>
      </c>
      <c r="B86" s="93" t="s">
        <v>76</v>
      </c>
      <c r="C86" s="94">
        <v>0</v>
      </c>
      <c r="D86" s="94">
        <v>0</v>
      </c>
      <c r="E86" s="94">
        <v>927158.75000000012</v>
      </c>
      <c r="F86" s="94">
        <v>15030337.5</v>
      </c>
      <c r="G86" s="94">
        <v>907846.66670000006</v>
      </c>
      <c r="H86" s="94">
        <v>0</v>
      </c>
      <c r="I86" s="94">
        <f>SUM(C86:H86)</f>
        <v>16865342.916700002</v>
      </c>
      <c r="J86" s="156"/>
      <c r="K86" s="52"/>
      <c r="L86" s="94">
        <v>0</v>
      </c>
      <c r="M86" s="94">
        <v>0</v>
      </c>
      <c r="N86" s="94">
        <v>783466.25</v>
      </c>
      <c r="O86" s="94">
        <v>12700912.499999998</v>
      </c>
      <c r="P86" s="94">
        <v>767147.18329999992</v>
      </c>
      <c r="Q86" s="94">
        <v>0</v>
      </c>
      <c r="R86" s="94">
        <f>SUM(L86:Q86)</f>
        <v>14251525.933299998</v>
      </c>
      <c r="S86" s="156"/>
      <c r="T86">
        <v>347</v>
      </c>
      <c r="U86">
        <v>31</v>
      </c>
      <c r="V86">
        <v>34000</v>
      </c>
      <c r="W86">
        <v>561700</v>
      </c>
      <c r="X86" t="s">
        <v>179</v>
      </c>
      <c r="Z86" s="53"/>
      <c r="AA86" s="53"/>
      <c r="AE86" s="53"/>
      <c r="AF86" s="54"/>
      <c r="AG86" s="53"/>
    </row>
    <row r="87" spans="1:36" s="9" customFormat="1" ht="15" x14ac:dyDescent="0.25">
      <c r="A87" s="92" t="s">
        <v>77</v>
      </c>
      <c r="B87" s="93" t="s">
        <v>78</v>
      </c>
      <c r="C87" s="94">
        <v>0</v>
      </c>
      <c r="D87" s="94">
        <v>0</v>
      </c>
      <c r="E87" s="94">
        <v>148345.40732960028</v>
      </c>
      <c r="F87" s="94">
        <v>2404854.1188214701</v>
      </c>
      <c r="G87" s="94">
        <v>145255.47384892969</v>
      </c>
      <c r="H87" s="94">
        <v>0</v>
      </c>
      <c r="I87" s="94">
        <f>SUM(C87:H87)</f>
        <v>2698455</v>
      </c>
      <c r="J87" s="156"/>
      <c r="K87" s="52"/>
      <c r="L87" s="94">
        <v>0</v>
      </c>
      <c r="M87" s="94">
        <v>0</v>
      </c>
      <c r="N87" s="94">
        <v>125354.59179081253</v>
      </c>
      <c r="O87" s="94">
        <v>2032145.8669193832</v>
      </c>
      <c r="P87" s="94">
        <v>122743.54128980429</v>
      </c>
      <c r="Q87" s="94">
        <v>0</v>
      </c>
      <c r="R87" s="94">
        <f>SUM(L87:Q87)</f>
        <v>2280244</v>
      </c>
      <c r="S87" s="156"/>
      <c r="T87">
        <v>328</v>
      </c>
      <c r="U87">
        <v>31</v>
      </c>
      <c r="V87">
        <v>34000</v>
      </c>
      <c r="W87">
        <v>532400</v>
      </c>
      <c r="X87" t="s">
        <v>184</v>
      </c>
      <c r="Y87" s="53"/>
      <c r="AC87" s="53"/>
      <c r="AD87" s="54"/>
      <c r="AE87" s="53"/>
    </row>
    <row r="88" spans="1:36" s="9" customFormat="1" ht="15" x14ac:dyDescent="0.25">
      <c r="A88" s="92" t="s">
        <v>98</v>
      </c>
      <c r="B88" s="95" t="s">
        <v>99</v>
      </c>
      <c r="C88" s="96">
        <v>0</v>
      </c>
      <c r="D88" s="96">
        <v>0</v>
      </c>
      <c r="E88" s="96">
        <v>211100.93151290831</v>
      </c>
      <c r="F88" s="96">
        <v>3422195.2251471472</v>
      </c>
      <c r="G88" s="96">
        <v>206703.84333994452</v>
      </c>
      <c r="H88" s="96">
        <v>0</v>
      </c>
      <c r="I88" s="94">
        <f>SUM(C88:H88)</f>
        <v>3840000.0000000005</v>
      </c>
      <c r="J88" s="156"/>
      <c r="K88" s="52"/>
      <c r="L88" s="96">
        <v>0</v>
      </c>
      <c r="M88" s="96">
        <v>0</v>
      </c>
      <c r="N88" s="96">
        <v>211100.93151290831</v>
      </c>
      <c r="O88" s="96">
        <v>3422195.2251471472</v>
      </c>
      <c r="P88" s="96">
        <v>206703.84333994452</v>
      </c>
      <c r="Q88" s="96">
        <v>0</v>
      </c>
      <c r="R88" s="94">
        <f>SUM(L88:Q88)</f>
        <v>3840000.0000000005</v>
      </c>
      <c r="S88" s="156"/>
      <c r="T88">
        <v>379</v>
      </c>
      <c r="U88">
        <v>31</v>
      </c>
      <c r="V88">
        <v>34000</v>
      </c>
      <c r="W88">
        <v>721000</v>
      </c>
      <c r="X88" t="s">
        <v>175</v>
      </c>
      <c r="Y88" s="53"/>
      <c r="AC88" s="53"/>
      <c r="AD88" s="54"/>
      <c r="AE88" s="53"/>
    </row>
    <row r="89" spans="1:36" s="9" customFormat="1" ht="15" x14ac:dyDescent="0.25">
      <c r="A89" s="92" t="s">
        <v>79</v>
      </c>
      <c r="B89" s="93"/>
      <c r="C89" s="94">
        <v>0</v>
      </c>
      <c r="D89" s="94">
        <v>0</v>
      </c>
      <c r="E89" s="94">
        <v>665578.80758622661</v>
      </c>
      <c r="F89" s="94">
        <v>10789817.936646283</v>
      </c>
      <c r="G89" s="94">
        <v>651715.25576749025</v>
      </c>
      <c r="H89" s="94">
        <v>0</v>
      </c>
      <c r="I89" s="94">
        <f>SUM(I90:I119)</f>
        <v>12107112</v>
      </c>
      <c r="J89" s="156"/>
      <c r="K89" s="52"/>
      <c r="L89" s="94">
        <v>0</v>
      </c>
      <c r="M89" s="94">
        <v>0</v>
      </c>
      <c r="N89" s="94">
        <v>562426.37515650655</v>
      </c>
      <c r="O89" s="94">
        <v>9117595.2742762845</v>
      </c>
      <c r="P89" s="94">
        <v>550711.41802846396</v>
      </c>
      <c r="Q89" s="94">
        <v>0</v>
      </c>
      <c r="R89" s="94">
        <f>SUM(R90:R119)</f>
        <v>10230733.067461256</v>
      </c>
      <c r="S89" s="156"/>
      <c r="T89">
        <v>286</v>
      </c>
      <c r="U89">
        <v>31</v>
      </c>
      <c r="V89">
        <v>34000</v>
      </c>
      <c r="W89">
        <v>444000</v>
      </c>
      <c r="X89" s="164" t="s">
        <v>185</v>
      </c>
      <c r="Y89" s="53"/>
      <c r="AC89" s="53"/>
      <c r="AD89" s="54"/>
      <c r="AE89" s="53"/>
    </row>
    <row r="90" spans="1:36" s="9" customFormat="1" ht="15" x14ac:dyDescent="0.25">
      <c r="A90" s="48" t="s">
        <v>100</v>
      </c>
      <c r="B90" s="97"/>
      <c r="C90" s="98"/>
      <c r="D90" s="98"/>
      <c r="E90" s="98"/>
      <c r="F90" s="98"/>
      <c r="G90" s="98"/>
      <c r="H90" s="98"/>
      <c r="I90" s="98">
        <v>2500000</v>
      </c>
      <c r="J90" s="157"/>
      <c r="K90" s="65"/>
      <c r="L90" s="98"/>
      <c r="M90" s="98"/>
      <c r="N90" s="98"/>
      <c r="O90" s="98"/>
      <c r="P90" s="98"/>
      <c r="Q90" s="98"/>
      <c r="R90" s="99">
        <v>2112546.1254612547</v>
      </c>
      <c r="S90" s="178"/>
      <c r="T90">
        <v>275</v>
      </c>
      <c r="U90">
        <v>31</v>
      </c>
      <c r="V90">
        <v>34000</v>
      </c>
      <c r="W90">
        <v>423800</v>
      </c>
      <c r="X90" t="s">
        <v>188</v>
      </c>
      <c r="AC90" s="53"/>
      <c r="AD90" s="53"/>
      <c r="AH90" s="53"/>
      <c r="AI90" s="54"/>
      <c r="AJ90" s="53"/>
    </row>
    <row r="91" spans="1:36" s="9" customFormat="1" ht="15" x14ac:dyDescent="0.25">
      <c r="A91" s="48" t="s">
        <v>101</v>
      </c>
      <c r="B91" s="97"/>
      <c r="C91" s="98"/>
      <c r="D91" s="98"/>
      <c r="E91" s="98"/>
      <c r="F91" s="98"/>
      <c r="G91" s="98"/>
      <c r="H91" s="98"/>
      <c r="I91" s="98">
        <v>4811798</v>
      </c>
      <c r="J91" s="157"/>
      <c r="K91" s="65"/>
      <c r="L91" s="98"/>
      <c r="M91" s="98"/>
      <c r="N91" s="98"/>
      <c r="O91" s="98"/>
      <c r="P91" s="98"/>
      <c r="Q91" s="98"/>
      <c r="R91" s="99">
        <v>4066058.5059999996</v>
      </c>
      <c r="S91" s="178"/>
      <c r="T91">
        <v>279</v>
      </c>
      <c r="U91">
        <v>31</v>
      </c>
      <c r="V91">
        <v>34000</v>
      </c>
      <c r="W91">
        <v>424700</v>
      </c>
      <c r="X91" t="s">
        <v>189</v>
      </c>
      <c r="AC91" s="53"/>
      <c r="AD91" s="53"/>
      <c r="AH91" s="53"/>
      <c r="AI91" s="54"/>
      <c r="AJ91" s="53"/>
    </row>
    <row r="92" spans="1:36" s="9" customFormat="1" ht="15" x14ac:dyDescent="0.25">
      <c r="A92" s="48" t="s">
        <v>102</v>
      </c>
      <c r="B92" s="97"/>
      <c r="C92" s="98"/>
      <c r="D92" s="98"/>
      <c r="E92" s="98"/>
      <c r="F92" s="98"/>
      <c r="G92" s="98"/>
      <c r="H92" s="98"/>
      <c r="I92" s="98">
        <v>52032</v>
      </c>
      <c r="J92" s="157"/>
      <c r="K92" s="65"/>
      <c r="L92" s="98"/>
      <c r="M92" s="98"/>
      <c r="N92" s="98"/>
      <c r="O92" s="98"/>
      <c r="P92" s="98"/>
      <c r="Q92" s="98"/>
      <c r="R92" s="99">
        <v>43968</v>
      </c>
      <c r="S92" s="178"/>
      <c r="T92">
        <v>286</v>
      </c>
      <c r="U92">
        <v>31</v>
      </c>
      <c r="V92">
        <v>34000</v>
      </c>
      <c r="W92">
        <v>444000</v>
      </c>
      <c r="X92" s="164" t="s">
        <v>185</v>
      </c>
      <c r="AC92" s="53"/>
      <c r="AD92" s="53"/>
      <c r="AH92" s="53"/>
      <c r="AI92" s="54"/>
      <c r="AJ92" s="53"/>
    </row>
    <row r="93" spans="1:36" s="9" customFormat="1" ht="24" x14ac:dyDescent="0.25">
      <c r="A93" s="48" t="s">
        <v>103</v>
      </c>
      <c r="B93" s="97"/>
      <c r="C93" s="98"/>
      <c r="D93" s="98"/>
      <c r="E93" s="98"/>
      <c r="F93" s="98"/>
      <c r="G93" s="98"/>
      <c r="H93" s="98"/>
      <c r="I93" s="98">
        <v>130080</v>
      </c>
      <c r="J93" s="157"/>
      <c r="K93" s="65"/>
      <c r="L93" s="98"/>
      <c r="M93" s="98"/>
      <c r="N93" s="98"/>
      <c r="O93" s="98"/>
      <c r="P93" s="98"/>
      <c r="Q93" s="98"/>
      <c r="R93" s="99">
        <v>109919.99999999999</v>
      </c>
      <c r="S93" s="178"/>
      <c r="T93">
        <v>54</v>
      </c>
      <c r="U93">
        <v>31</v>
      </c>
      <c r="V93">
        <v>34000</v>
      </c>
      <c r="W93">
        <v>331200</v>
      </c>
      <c r="X93" t="s">
        <v>190</v>
      </c>
      <c r="AC93" s="53"/>
      <c r="AD93" s="53"/>
      <c r="AH93" s="53"/>
      <c r="AI93" s="54"/>
      <c r="AJ93" s="53"/>
    </row>
    <row r="94" spans="1:36" s="9" customFormat="1" ht="15" x14ac:dyDescent="0.25">
      <c r="A94" s="48" t="s">
        <v>104</v>
      </c>
      <c r="B94" s="97"/>
      <c r="C94" s="98"/>
      <c r="D94" s="98"/>
      <c r="E94" s="98"/>
      <c r="F94" s="98"/>
      <c r="G94" s="98"/>
      <c r="H94" s="98"/>
      <c r="I94" s="98">
        <v>104064</v>
      </c>
      <c r="J94" s="157"/>
      <c r="K94" s="65"/>
      <c r="L94" s="98"/>
      <c r="M94" s="98"/>
      <c r="N94" s="98"/>
      <c r="O94" s="98"/>
      <c r="P94" s="98"/>
      <c r="Q94" s="98"/>
      <c r="R94" s="99">
        <v>87936</v>
      </c>
      <c r="S94" s="178"/>
      <c r="T94">
        <v>191</v>
      </c>
      <c r="U94">
        <v>31</v>
      </c>
      <c r="V94">
        <v>34000</v>
      </c>
      <c r="W94">
        <v>339990</v>
      </c>
      <c r="X94" t="s">
        <v>191</v>
      </c>
      <c r="AC94" s="53"/>
      <c r="AD94" s="53"/>
      <c r="AH94" s="53"/>
      <c r="AI94" s="54"/>
      <c r="AJ94" s="53"/>
    </row>
    <row r="95" spans="1:36" s="9" customFormat="1" x14ac:dyDescent="0.25">
      <c r="A95" s="48" t="s">
        <v>105</v>
      </c>
      <c r="B95" s="97"/>
      <c r="C95" s="98"/>
      <c r="D95" s="98"/>
      <c r="E95" s="98"/>
      <c r="F95" s="98"/>
      <c r="G95" s="98"/>
      <c r="H95" s="98"/>
      <c r="I95" s="98">
        <v>0</v>
      </c>
      <c r="J95" s="157"/>
      <c r="K95" s="65"/>
      <c r="L95" s="98"/>
      <c r="M95" s="98"/>
      <c r="N95" s="98"/>
      <c r="O95" s="98"/>
      <c r="P95" s="98"/>
      <c r="Q95" s="98"/>
      <c r="R95" s="99">
        <v>0</v>
      </c>
      <c r="S95" s="178"/>
      <c r="AC95" s="53"/>
      <c r="AD95" s="53"/>
      <c r="AH95" s="53"/>
      <c r="AI95" s="54"/>
      <c r="AJ95" s="53"/>
    </row>
    <row r="96" spans="1:36" s="9" customFormat="1" ht="24" x14ac:dyDescent="0.25">
      <c r="A96" s="48" t="s">
        <v>106</v>
      </c>
      <c r="B96" s="97"/>
      <c r="C96" s="98"/>
      <c r="D96" s="98"/>
      <c r="E96" s="98"/>
      <c r="F96" s="98"/>
      <c r="G96" s="98"/>
      <c r="H96" s="98"/>
      <c r="I96" s="98">
        <v>271000</v>
      </c>
      <c r="J96" s="157"/>
      <c r="K96" s="65"/>
      <c r="L96" s="98"/>
      <c r="M96" s="98"/>
      <c r="N96" s="98"/>
      <c r="O96" s="98"/>
      <c r="P96" s="98"/>
      <c r="Q96" s="98"/>
      <c r="R96" s="99">
        <v>228999.99999999997</v>
      </c>
      <c r="S96" s="178"/>
      <c r="T96">
        <v>80</v>
      </c>
      <c r="U96">
        <v>31</v>
      </c>
      <c r="V96">
        <v>34000</v>
      </c>
      <c r="W96">
        <v>332996</v>
      </c>
      <c r="X96" t="s">
        <v>192</v>
      </c>
      <c r="AC96" s="53"/>
      <c r="AD96" s="53"/>
      <c r="AH96" s="53"/>
      <c r="AI96" s="54"/>
      <c r="AJ96" s="53"/>
    </row>
    <row r="97" spans="1:36" s="9" customFormat="1" ht="24" x14ac:dyDescent="0.25">
      <c r="A97" s="48" t="s">
        <v>107</v>
      </c>
      <c r="B97" s="97"/>
      <c r="C97" s="98"/>
      <c r="D97" s="98"/>
      <c r="E97" s="98"/>
      <c r="F97" s="98"/>
      <c r="G97" s="98"/>
      <c r="H97" s="98"/>
      <c r="I97" s="98">
        <v>0</v>
      </c>
      <c r="J97" s="157"/>
      <c r="K97" s="65"/>
      <c r="L97" s="98"/>
      <c r="M97" s="98"/>
      <c r="N97" s="98"/>
      <c r="O97" s="98"/>
      <c r="P97" s="98"/>
      <c r="Q97" s="98"/>
      <c r="R97" s="99">
        <v>0</v>
      </c>
      <c r="S97" s="178"/>
      <c r="AC97" s="53"/>
      <c r="AD97" s="53"/>
      <c r="AH97" s="53"/>
      <c r="AI97" s="54"/>
      <c r="AJ97" s="53"/>
    </row>
    <row r="98" spans="1:36" s="9" customFormat="1" ht="15" x14ac:dyDescent="0.25">
      <c r="A98" s="48" t="s">
        <v>108</v>
      </c>
      <c r="B98" s="97"/>
      <c r="C98" s="98"/>
      <c r="D98" s="98"/>
      <c r="E98" s="98"/>
      <c r="F98" s="98"/>
      <c r="G98" s="98"/>
      <c r="H98" s="98"/>
      <c r="I98" s="98">
        <v>104877</v>
      </c>
      <c r="J98" s="157"/>
      <c r="K98" s="65"/>
      <c r="L98" s="98"/>
      <c r="M98" s="98"/>
      <c r="N98" s="98"/>
      <c r="O98" s="98"/>
      <c r="P98" s="98"/>
      <c r="Q98" s="98"/>
      <c r="R98" s="99">
        <v>88623</v>
      </c>
      <c r="S98" s="178"/>
      <c r="T98">
        <v>45</v>
      </c>
      <c r="U98">
        <v>31</v>
      </c>
      <c r="V98">
        <v>34000</v>
      </c>
      <c r="W98">
        <v>327330</v>
      </c>
      <c r="X98" t="s">
        <v>193</v>
      </c>
      <c r="AC98" s="53"/>
      <c r="AD98" s="53"/>
      <c r="AH98" s="53"/>
      <c r="AI98" s="54"/>
      <c r="AJ98" s="53"/>
    </row>
    <row r="99" spans="1:36" s="9" customFormat="1" x14ac:dyDescent="0.25">
      <c r="A99" s="48" t="s">
        <v>109</v>
      </c>
      <c r="B99" s="97"/>
      <c r="C99" s="98"/>
      <c r="D99" s="98"/>
      <c r="E99" s="98"/>
      <c r="F99" s="98"/>
      <c r="G99" s="98"/>
      <c r="H99" s="98"/>
      <c r="I99" s="98">
        <v>0</v>
      </c>
      <c r="J99" s="157"/>
      <c r="K99" s="65"/>
      <c r="L99" s="98"/>
      <c r="M99" s="98"/>
      <c r="N99" s="98"/>
      <c r="O99" s="98"/>
      <c r="P99" s="98"/>
      <c r="Q99" s="98"/>
      <c r="R99" s="99">
        <v>0</v>
      </c>
      <c r="S99" s="178"/>
      <c r="AC99" s="53"/>
      <c r="AD99" s="53"/>
      <c r="AH99" s="53"/>
      <c r="AI99" s="54"/>
      <c r="AJ99" s="53"/>
    </row>
    <row r="100" spans="1:36" s="9" customFormat="1" x14ac:dyDescent="0.25">
      <c r="A100" s="48" t="s">
        <v>110</v>
      </c>
      <c r="B100" s="97"/>
      <c r="C100" s="98"/>
      <c r="D100" s="98"/>
      <c r="E100" s="98"/>
      <c r="F100" s="98"/>
      <c r="G100" s="98"/>
      <c r="H100" s="98"/>
      <c r="I100" s="98">
        <v>0</v>
      </c>
      <c r="J100" s="157"/>
      <c r="K100" s="65"/>
      <c r="L100" s="98"/>
      <c r="M100" s="98"/>
      <c r="N100" s="98"/>
      <c r="O100" s="98"/>
      <c r="P100" s="98"/>
      <c r="Q100" s="98"/>
      <c r="R100" s="99">
        <v>0</v>
      </c>
      <c r="S100" s="178"/>
      <c r="AC100" s="53"/>
      <c r="AD100" s="53"/>
      <c r="AH100" s="53"/>
      <c r="AI100" s="54"/>
      <c r="AJ100" s="53"/>
    </row>
    <row r="101" spans="1:36" s="9" customFormat="1" ht="15" x14ac:dyDescent="0.25">
      <c r="A101" s="48" t="s">
        <v>111</v>
      </c>
      <c r="B101" s="97"/>
      <c r="C101" s="98"/>
      <c r="D101" s="98"/>
      <c r="E101" s="98"/>
      <c r="F101" s="98"/>
      <c r="G101" s="98"/>
      <c r="H101" s="98"/>
      <c r="I101" s="98">
        <v>104877</v>
      </c>
      <c r="J101" s="157"/>
      <c r="K101" s="65"/>
      <c r="L101" s="98"/>
      <c r="M101" s="98"/>
      <c r="N101" s="98"/>
      <c r="O101" s="98"/>
      <c r="P101" s="98"/>
      <c r="Q101" s="98"/>
      <c r="R101" s="99">
        <v>88623</v>
      </c>
      <c r="S101" s="178"/>
      <c r="T101">
        <v>256</v>
      </c>
      <c r="U101">
        <v>31</v>
      </c>
      <c r="V101">
        <v>34000</v>
      </c>
      <c r="W101">
        <v>325510</v>
      </c>
      <c r="X101" t="s">
        <v>194</v>
      </c>
      <c r="AC101" s="53"/>
      <c r="AD101" s="53"/>
      <c r="AH101" s="53"/>
      <c r="AI101" s="54"/>
      <c r="AJ101" s="53"/>
    </row>
    <row r="102" spans="1:36" s="9" customFormat="1" ht="15" x14ac:dyDescent="0.25">
      <c r="A102" s="48" t="s">
        <v>112</v>
      </c>
      <c r="B102" s="97"/>
      <c r="C102" s="98"/>
      <c r="D102" s="98"/>
      <c r="E102" s="98"/>
      <c r="F102" s="98"/>
      <c r="G102" s="98"/>
      <c r="H102" s="98"/>
      <c r="I102" s="98">
        <v>947416</v>
      </c>
      <c r="J102" s="157"/>
      <c r="K102" s="65"/>
      <c r="L102" s="98"/>
      <c r="M102" s="98"/>
      <c r="N102" s="98"/>
      <c r="O102" s="98"/>
      <c r="P102" s="98"/>
      <c r="Q102" s="98"/>
      <c r="R102" s="99">
        <v>800583.99999999988</v>
      </c>
      <c r="S102" s="178"/>
      <c r="T102">
        <v>45</v>
      </c>
      <c r="U102">
        <v>31</v>
      </c>
      <c r="V102">
        <v>34000</v>
      </c>
      <c r="W102">
        <v>327330</v>
      </c>
      <c r="X102" t="s">
        <v>193</v>
      </c>
      <c r="AC102" s="53"/>
      <c r="AD102" s="53"/>
      <c r="AH102" s="53"/>
      <c r="AI102" s="54"/>
      <c r="AJ102" s="53"/>
    </row>
    <row r="103" spans="1:36" s="9" customFormat="1" ht="15" x14ac:dyDescent="0.25">
      <c r="A103" s="48" t="s">
        <v>113</v>
      </c>
      <c r="B103" s="97"/>
      <c r="C103" s="98"/>
      <c r="D103" s="98"/>
      <c r="E103" s="98"/>
      <c r="F103" s="98"/>
      <c r="G103" s="98"/>
      <c r="H103" s="98"/>
      <c r="I103" s="98">
        <v>81300</v>
      </c>
      <c r="J103" s="157"/>
      <c r="K103" s="65"/>
      <c r="L103" s="98"/>
      <c r="M103" s="98"/>
      <c r="N103" s="98"/>
      <c r="O103" s="98"/>
      <c r="P103" s="98"/>
      <c r="Q103" s="98"/>
      <c r="R103" s="99">
        <v>68700</v>
      </c>
      <c r="S103" s="178"/>
      <c r="T103">
        <v>191</v>
      </c>
      <c r="U103">
        <v>31</v>
      </c>
      <c r="V103">
        <v>34000</v>
      </c>
      <c r="W103">
        <v>339990</v>
      </c>
      <c r="X103" t="s">
        <v>191</v>
      </c>
      <c r="AC103" s="53"/>
      <c r="AD103" s="53"/>
      <c r="AH103" s="53"/>
      <c r="AI103" s="54"/>
      <c r="AJ103" s="53"/>
    </row>
    <row r="104" spans="1:36" s="9" customFormat="1" ht="15" x14ac:dyDescent="0.25">
      <c r="A104" s="48" t="s">
        <v>114</v>
      </c>
      <c r="B104" s="97"/>
      <c r="C104" s="98"/>
      <c r="D104" s="98"/>
      <c r="E104" s="98"/>
      <c r="F104" s="98"/>
      <c r="G104" s="98"/>
      <c r="H104" s="98"/>
      <c r="I104" s="98">
        <v>27393</v>
      </c>
      <c r="J104" s="157"/>
      <c r="K104" s="65"/>
      <c r="L104" s="98"/>
      <c r="M104" s="98"/>
      <c r="N104" s="98"/>
      <c r="O104" s="98"/>
      <c r="P104" s="98"/>
      <c r="Q104" s="98"/>
      <c r="R104" s="99">
        <v>23147.32</v>
      </c>
      <c r="S104" s="178"/>
      <c r="T104">
        <v>191</v>
      </c>
      <c r="U104">
        <v>31</v>
      </c>
      <c r="V104">
        <v>34000</v>
      </c>
      <c r="W104">
        <v>339990</v>
      </c>
      <c r="X104" t="s">
        <v>191</v>
      </c>
      <c r="AC104" s="53"/>
      <c r="AD104" s="53"/>
      <c r="AH104" s="53"/>
      <c r="AI104" s="54"/>
      <c r="AJ104" s="53"/>
    </row>
    <row r="105" spans="1:36" s="9" customFormat="1" ht="15" x14ac:dyDescent="0.25">
      <c r="A105" s="48" t="s">
        <v>115</v>
      </c>
      <c r="B105" s="97"/>
      <c r="C105" s="98"/>
      <c r="D105" s="98"/>
      <c r="E105" s="98"/>
      <c r="F105" s="98"/>
      <c r="G105" s="98"/>
      <c r="H105" s="98"/>
      <c r="I105" s="98">
        <v>611565</v>
      </c>
      <c r="J105" s="157"/>
      <c r="K105" s="65"/>
      <c r="L105" s="98"/>
      <c r="M105" s="98"/>
      <c r="N105" s="98"/>
      <c r="O105" s="98"/>
      <c r="P105" s="98"/>
      <c r="Q105" s="98"/>
      <c r="R105" s="100">
        <v>516783.84199999995</v>
      </c>
      <c r="S105" s="179"/>
      <c r="T105">
        <v>191</v>
      </c>
      <c r="U105">
        <v>31</v>
      </c>
      <c r="V105">
        <v>34000</v>
      </c>
      <c r="W105">
        <v>339990</v>
      </c>
      <c r="X105" t="s">
        <v>191</v>
      </c>
      <c r="AC105" s="53"/>
      <c r="AD105" s="53"/>
      <c r="AH105" s="53"/>
      <c r="AI105" s="54"/>
      <c r="AJ105" s="53"/>
    </row>
    <row r="106" spans="1:36" s="9" customFormat="1" ht="15" x14ac:dyDescent="0.25">
      <c r="A106" s="48" t="s">
        <v>116</v>
      </c>
      <c r="B106" s="97"/>
      <c r="C106" s="98"/>
      <c r="D106" s="98"/>
      <c r="E106" s="98"/>
      <c r="F106" s="98"/>
      <c r="G106" s="98"/>
      <c r="H106" s="98"/>
      <c r="I106" s="98">
        <v>109798</v>
      </c>
      <c r="J106" s="157"/>
      <c r="K106" s="65"/>
      <c r="L106" s="98"/>
      <c r="M106" s="98"/>
      <c r="N106" s="98"/>
      <c r="O106" s="98"/>
      <c r="P106" s="98"/>
      <c r="Q106" s="98"/>
      <c r="R106" s="99">
        <v>92781.64</v>
      </c>
      <c r="S106" s="178"/>
      <c r="T106">
        <v>6</v>
      </c>
      <c r="U106">
        <v>31</v>
      </c>
      <c r="V106">
        <v>34000</v>
      </c>
      <c r="W106">
        <v>111900</v>
      </c>
      <c r="X106" t="s">
        <v>195</v>
      </c>
      <c r="AC106" s="53"/>
      <c r="AD106" s="53"/>
      <c r="AH106" s="53"/>
      <c r="AI106" s="54"/>
      <c r="AJ106" s="53"/>
    </row>
    <row r="107" spans="1:36" s="9" customFormat="1" x14ac:dyDescent="0.25">
      <c r="A107" s="48" t="s">
        <v>117</v>
      </c>
      <c r="B107" s="97"/>
      <c r="C107" s="98"/>
      <c r="D107" s="98"/>
      <c r="E107" s="98"/>
      <c r="F107" s="98"/>
      <c r="G107" s="98"/>
      <c r="H107" s="98"/>
      <c r="I107" s="98">
        <v>0</v>
      </c>
      <c r="J107" s="157"/>
      <c r="K107" s="65"/>
      <c r="L107" s="98"/>
      <c r="M107" s="98"/>
      <c r="N107" s="98"/>
      <c r="O107" s="98"/>
      <c r="P107" s="98"/>
      <c r="Q107" s="98"/>
      <c r="R107" s="99">
        <v>0</v>
      </c>
      <c r="S107" s="178"/>
      <c r="AC107" s="53"/>
      <c r="AD107" s="53"/>
      <c r="AH107" s="53"/>
      <c r="AI107" s="54"/>
      <c r="AJ107" s="53"/>
    </row>
    <row r="108" spans="1:36" s="9" customFormat="1" ht="15" x14ac:dyDescent="0.25">
      <c r="A108" s="48" t="s">
        <v>118</v>
      </c>
      <c r="B108" s="97"/>
      <c r="C108" s="98"/>
      <c r="D108" s="98"/>
      <c r="E108" s="98"/>
      <c r="F108" s="98"/>
      <c r="G108" s="98"/>
      <c r="H108" s="98"/>
      <c r="I108" s="98">
        <v>383899</v>
      </c>
      <c r="J108" s="157"/>
      <c r="K108" s="65"/>
      <c r="L108" s="98"/>
      <c r="M108" s="98"/>
      <c r="N108" s="98"/>
      <c r="O108" s="98"/>
      <c r="P108" s="98"/>
      <c r="Q108" s="98"/>
      <c r="R108" s="99">
        <v>324401.39999999997</v>
      </c>
      <c r="S108" s="178"/>
      <c r="T108">
        <v>6</v>
      </c>
      <c r="AC108" s="53"/>
      <c r="AD108" s="53"/>
      <c r="AH108" s="53"/>
      <c r="AI108" s="54"/>
      <c r="AJ108" s="53"/>
    </row>
    <row r="109" spans="1:36" s="9" customFormat="1" ht="15" x14ac:dyDescent="0.25">
      <c r="A109" s="48" t="s">
        <v>119</v>
      </c>
      <c r="B109" s="97"/>
      <c r="C109" s="98"/>
      <c r="D109" s="98"/>
      <c r="E109" s="98"/>
      <c r="F109" s="98"/>
      <c r="G109" s="98"/>
      <c r="H109" s="98"/>
      <c r="I109" s="98">
        <v>170622</v>
      </c>
      <c r="J109" s="157"/>
      <c r="K109" s="65"/>
      <c r="L109" s="98"/>
      <c r="M109" s="98"/>
      <c r="N109" s="98"/>
      <c r="O109" s="98"/>
      <c r="P109" s="98"/>
      <c r="Q109" s="98"/>
      <c r="R109" s="99">
        <v>144178.4</v>
      </c>
      <c r="S109" s="178"/>
      <c r="T109">
        <v>254</v>
      </c>
      <c r="U109">
        <v>31</v>
      </c>
      <c r="V109">
        <v>34000</v>
      </c>
      <c r="W109">
        <v>325310</v>
      </c>
      <c r="X109" t="s">
        <v>196</v>
      </c>
      <c r="AC109" s="53"/>
      <c r="AD109" s="53"/>
      <c r="AH109" s="53"/>
      <c r="AI109" s="54"/>
      <c r="AJ109" s="53"/>
    </row>
    <row r="110" spans="1:36" s="9" customFormat="1" ht="15" x14ac:dyDescent="0.25">
      <c r="A110" s="48" t="s">
        <v>120</v>
      </c>
      <c r="B110" s="97"/>
      <c r="C110" s="98"/>
      <c r="D110" s="98"/>
      <c r="E110" s="98"/>
      <c r="F110" s="98"/>
      <c r="G110" s="98"/>
      <c r="H110" s="98"/>
      <c r="I110" s="98">
        <v>213277</v>
      </c>
      <c r="J110" s="157"/>
      <c r="K110" s="65"/>
      <c r="L110" s="98"/>
      <c r="M110" s="98"/>
      <c r="N110" s="98"/>
      <c r="O110" s="98"/>
      <c r="P110" s="98"/>
      <c r="Q110" s="98"/>
      <c r="R110" s="99">
        <v>180222.99999999997</v>
      </c>
      <c r="S110" s="178"/>
      <c r="T110">
        <v>2</v>
      </c>
      <c r="U110">
        <v>31</v>
      </c>
      <c r="V110">
        <v>34000</v>
      </c>
      <c r="W110" t="s">
        <v>197</v>
      </c>
      <c r="X110" t="s">
        <v>198</v>
      </c>
      <c r="AC110" s="53"/>
      <c r="AD110" s="53"/>
      <c r="AH110" s="53"/>
      <c r="AI110" s="54"/>
      <c r="AJ110" s="53"/>
    </row>
    <row r="111" spans="1:36" s="9" customFormat="1" ht="15" x14ac:dyDescent="0.25">
      <c r="A111" s="48" t="s">
        <v>121</v>
      </c>
      <c r="B111" s="97"/>
      <c r="C111" s="98"/>
      <c r="D111" s="98"/>
      <c r="E111" s="98"/>
      <c r="F111" s="98"/>
      <c r="G111" s="98"/>
      <c r="H111" s="98"/>
      <c r="I111" s="98">
        <v>86353</v>
      </c>
      <c r="J111" s="157"/>
      <c r="K111" s="65"/>
      <c r="L111" s="98"/>
      <c r="M111" s="98"/>
      <c r="N111" s="98"/>
      <c r="O111" s="98"/>
      <c r="P111" s="98"/>
      <c r="Q111" s="98"/>
      <c r="R111" s="99">
        <v>72969.933999999994</v>
      </c>
      <c r="S111" s="178"/>
      <c r="T111">
        <v>223</v>
      </c>
      <c r="U111">
        <v>31</v>
      </c>
      <c r="V111">
        <v>34000</v>
      </c>
      <c r="W111">
        <v>313300</v>
      </c>
      <c r="X111" t="s">
        <v>199</v>
      </c>
      <c r="AC111" s="53"/>
      <c r="AD111" s="53"/>
      <c r="AH111" s="53"/>
      <c r="AI111" s="54"/>
      <c r="AJ111" s="53"/>
    </row>
    <row r="112" spans="1:36" s="9" customFormat="1" ht="15" x14ac:dyDescent="0.25">
      <c r="A112" s="48" t="s">
        <v>122</v>
      </c>
      <c r="B112" s="97"/>
      <c r="C112" s="98"/>
      <c r="D112" s="98"/>
      <c r="E112" s="98"/>
      <c r="F112" s="98"/>
      <c r="G112" s="98"/>
      <c r="H112" s="98"/>
      <c r="I112" s="98">
        <v>944695</v>
      </c>
      <c r="J112" s="157"/>
      <c r="K112" s="65"/>
      <c r="L112" s="98"/>
      <c r="M112" s="98"/>
      <c r="N112" s="98"/>
      <c r="O112" s="98"/>
      <c r="P112" s="98"/>
      <c r="Q112" s="98"/>
      <c r="R112" s="99">
        <v>798284.84</v>
      </c>
      <c r="S112" s="178"/>
      <c r="T112">
        <v>226</v>
      </c>
      <c r="U112">
        <v>31</v>
      </c>
      <c r="V112">
        <v>34000</v>
      </c>
      <c r="W112">
        <v>314900</v>
      </c>
      <c r="X112" t="s">
        <v>200</v>
      </c>
      <c r="AC112" s="53"/>
      <c r="AD112" s="53"/>
      <c r="AH112" s="53"/>
      <c r="AI112" s="54"/>
      <c r="AJ112" s="53"/>
    </row>
    <row r="113" spans="1:36" s="9" customFormat="1" ht="15" x14ac:dyDescent="0.25">
      <c r="A113" s="48" t="s">
        <v>123</v>
      </c>
      <c r="B113" s="97"/>
      <c r="C113" s="98"/>
      <c r="D113" s="98"/>
      <c r="E113" s="98"/>
      <c r="F113" s="98"/>
      <c r="G113" s="98"/>
      <c r="H113" s="98"/>
      <c r="I113" s="98">
        <v>106964</v>
      </c>
      <c r="J113" s="157"/>
      <c r="K113" s="65"/>
      <c r="L113" s="98"/>
      <c r="M113" s="98"/>
      <c r="N113" s="98"/>
      <c r="O113" s="98"/>
      <c r="P113" s="98"/>
      <c r="Q113" s="98"/>
      <c r="R113" s="99">
        <v>90386.299999999988</v>
      </c>
      <c r="S113" s="178"/>
      <c r="T113">
        <v>49</v>
      </c>
      <c r="U113">
        <v>31</v>
      </c>
      <c r="V113">
        <v>34000</v>
      </c>
      <c r="W113">
        <v>327991</v>
      </c>
      <c r="X113" t="s">
        <v>201</v>
      </c>
      <c r="AC113" s="53"/>
      <c r="AD113" s="53"/>
      <c r="AH113" s="53"/>
      <c r="AI113" s="54"/>
      <c r="AJ113" s="53"/>
    </row>
    <row r="114" spans="1:36" s="9" customFormat="1" x14ac:dyDescent="0.25">
      <c r="A114" s="48" t="s">
        <v>124</v>
      </c>
      <c r="B114" s="97"/>
      <c r="C114" s="98"/>
      <c r="D114" s="98"/>
      <c r="E114" s="98"/>
      <c r="F114" s="98"/>
      <c r="G114" s="98"/>
      <c r="H114" s="98"/>
      <c r="I114" s="98">
        <v>0</v>
      </c>
      <c r="J114" s="157"/>
      <c r="K114" s="65"/>
      <c r="L114" s="98"/>
      <c r="M114" s="98"/>
      <c r="N114" s="98"/>
      <c r="O114" s="98"/>
      <c r="P114" s="98"/>
      <c r="Q114" s="98"/>
      <c r="R114" s="99">
        <v>0</v>
      </c>
      <c r="S114" s="178"/>
      <c r="AC114" s="53"/>
      <c r="AD114" s="53"/>
      <c r="AH114" s="53"/>
      <c r="AI114" s="54"/>
      <c r="AJ114" s="53"/>
    </row>
    <row r="115" spans="1:36" s="9" customFormat="1" x14ac:dyDescent="0.25">
      <c r="A115" s="48" t="s">
        <v>125</v>
      </c>
      <c r="B115" s="97"/>
      <c r="C115" s="98"/>
      <c r="D115" s="98"/>
      <c r="E115" s="98"/>
      <c r="F115" s="98"/>
      <c r="G115" s="98"/>
      <c r="H115" s="98"/>
      <c r="I115" s="98">
        <v>0</v>
      </c>
      <c r="J115" s="157"/>
      <c r="K115" s="65"/>
      <c r="L115" s="98"/>
      <c r="M115" s="98"/>
      <c r="N115" s="98"/>
      <c r="O115" s="98"/>
      <c r="P115" s="98"/>
      <c r="Q115" s="98"/>
      <c r="R115" s="99">
        <v>0</v>
      </c>
      <c r="S115" s="178"/>
      <c r="AC115" s="53"/>
      <c r="AD115" s="53"/>
      <c r="AH115" s="53"/>
      <c r="AI115" s="54"/>
      <c r="AJ115" s="53"/>
    </row>
    <row r="116" spans="1:36" s="9" customFormat="1" x14ac:dyDescent="0.25">
      <c r="A116" s="48" t="s">
        <v>126</v>
      </c>
      <c r="B116" s="97"/>
      <c r="C116" s="98"/>
      <c r="D116" s="98"/>
      <c r="E116" s="98"/>
      <c r="F116" s="98"/>
      <c r="G116" s="98"/>
      <c r="H116" s="98"/>
      <c r="I116" s="98">
        <v>0</v>
      </c>
      <c r="J116" s="157"/>
      <c r="K116" s="65"/>
      <c r="L116" s="98"/>
      <c r="M116" s="98"/>
      <c r="N116" s="98"/>
      <c r="O116" s="98"/>
      <c r="P116" s="98"/>
      <c r="Q116" s="98"/>
      <c r="R116" s="99">
        <v>0</v>
      </c>
      <c r="S116" s="178"/>
      <c r="AC116" s="53"/>
      <c r="AD116" s="53"/>
      <c r="AH116" s="53"/>
      <c r="AI116" s="54"/>
      <c r="AJ116" s="53"/>
    </row>
    <row r="117" spans="1:36" s="9" customFormat="1" ht="15" x14ac:dyDescent="0.25">
      <c r="A117" s="48" t="s">
        <v>127</v>
      </c>
      <c r="B117" s="97"/>
      <c r="C117" s="98"/>
      <c r="D117" s="98"/>
      <c r="E117" s="98"/>
      <c r="F117" s="98"/>
      <c r="G117" s="98"/>
      <c r="H117" s="98"/>
      <c r="I117" s="98">
        <v>255905</v>
      </c>
      <c r="J117" s="157"/>
      <c r="K117" s="65"/>
      <c r="L117" s="98"/>
      <c r="M117" s="98"/>
      <c r="N117" s="98"/>
      <c r="O117" s="98"/>
      <c r="P117" s="98"/>
      <c r="Q117" s="98"/>
      <c r="R117" s="99">
        <v>216244.69999999998</v>
      </c>
      <c r="S117" s="178"/>
      <c r="T117">
        <v>49</v>
      </c>
      <c r="U117">
        <v>31</v>
      </c>
      <c r="V117">
        <v>34000</v>
      </c>
      <c r="W117">
        <v>327991</v>
      </c>
      <c r="X117" t="s">
        <v>201</v>
      </c>
      <c r="AC117" s="53"/>
      <c r="AD117" s="53"/>
      <c r="AH117" s="53"/>
      <c r="AI117" s="54"/>
      <c r="AJ117" s="53"/>
    </row>
    <row r="118" spans="1:36" s="9" customFormat="1" ht="15" x14ac:dyDescent="0.25">
      <c r="A118" s="48" t="s">
        <v>128</v>
      </c>
      <c r="B118" s="97"/>
      <c r="C118" s="98"/>
      <c r="D118" s="98"/>
      <c r="E118" s="98"/>
      <c r="F118" s="98"/>
      <c r="G118" s="98"/>
      <c r="H118" s="98"/>
      <c r="I118" s="98">
        <v>36856</v>
      </c>
      <c r="J118" s="157"/>
      <c r="K118" s="65"/>
      <c r="L118" s="98"/>
      <c r="M118" s="98"/>
      <c r="N118" s="98"/>
      <c r="O118" s="98"/>
      <c r="P118" s="98"/>
      <c r="Q118" s="98"/>
      <c r="R118" s="99">
        <v>31143.999999999996</v>
      </c>
      <c r="S118" s="178"/>
      <c r="T118">
        <v>191</v>
      </c>
      <c r="U118">
        <v>31</v>
      </c>
      <c r="V118">
        <v>34000</v>
      </c>
      <c r="W118">
        <v>339990</v>
      </c>
      <c r="X118" t="s">
        <v>191</v>
      </c>
      <c r="AC118" s="53"/>
      <c r="AD118" s="53"/>
      <c r="AH118" s="53"/>
      <c r="AI118" s="54"/>
      <c r="AJ118" s="53"/>
    </row>
    <row r="119" spans="1:36" s="9" customFormat="1" ht="15" x14ac:dyDescent="0.25">
      <c r="A119" s="48" t="s">
        <v>129</v>
      </c>
      <c r="B119" s="97"/>
      <c r="C119" s="98"/>
      <c r="D119" s="98"/>
      <c r="E119" s="98"/>
      <c r="F119" s="98"/>
      <c r="G119" s="98"/>
      <c r="H119" s="98"/>
      <c r="I119" s="98">
        <v>52341</v>
      </c>
      <c r="J119" s="157"/>
      <c r="K119" s="65"/>
      <c r="L119" s="98"/>
      <c r="M119" s="98"/>
      <c r="N119" s="98"/>
      <c r="O119" s="98"/>
      <c r="P119" s="98"/>
      <c r="Q119" s="98"/>
      <c r="R119" s="99">
        <v>44229.06</v>
      </c>
      <c r="S119" s="178"/>
      <c r="T119">
        <v>191</v>
      </c>
      <c r="U119">
        <v>31</v>
      </c>
      <c r="V119">
        <v>34000</v>
      </c>
      <c r="W119">
        <v>339990</v>
      </c>
      <c r="X119" t="s">
        <v>191</v>
      </c>
      <c r="AC119" s="53"/>
      <c r="AD119" s="53"/>
      <c r="AH119" s="53"/>
      <c r="AI119" s="54"/>
      <c r="AJ119" s="53"/>
    </row>
    <row r="120" spans="1:36" ht="15.75" thickBot="1" x14ac:dyDescent="0.3">
      <c r="A120" s="101"/>
      <c r="B120" s="102"/>
      <c r="C120" s="103"/>
      <c r="D120" s="103"/>
      <c r="E120" s="103"/>
      <c r="F120" s="103"/>
      <c r="G120" s="103"/>
      <c r="H120" s="103"/>
      <c r="I120" s="103"/>
      <c r="J120" s="103"/>
      <c r="K120" s="6"/>
      <c r="L120" s="104"/>
      <c r="M120" s="104"/>
      <c r="N120" s="104"/>
      <c r="O120" s="104"/>
      <c r="P120" s="104"/>
      <c r="Q120" s="104"/>
      <c r="R120" s="105"/>
      <c r="S120" s="105"/>
      <c r="T120" s="6"/>
      <c r="Y120" s="6"/>
      <c r="Z120" s="6"/>
      <c r="AC120" s="4"/>
      <c r="AE120" s="6"/>
      <c r="AF120" s="6"/>
      <c r="AH120" s="4"/>
      <c r="AI120" s="8"/>
      <c r="AJ120" s="4"/>
    </row>
    <row r="121" spans="1:36" ht="15.75" thickBot="1" x14ac:dyDescent="0.3">
      <c r="A121" s="106" t="s">
        <v>130</v>
      </c>
      <c r="D121" s="103"/>
      <c r="E121" s="103"/>
      <c r="F121" s="103"/>
      <c r="G121" s="103"/>
      <c r="H121" s="103"/>
      <c r="I121" s="103"/>
      <c r="J121" s="103"/>
      <c r="K121" s="6"/>
      <c r="L121" s="104"/>
      <c r="M121" s="104"/>
      <c r="N121" s="104"/>
      <c r="O121" s="104"/>
      <c r="P121" s="6"/>
      <c r="R121" s="4"/>
      <c r="S121" s="4"/>
      <c r="T121" s="6"/>
      <c r="Y121" s="6"/>
      <c r="Z121" s="6"/>
      <c r="AC121" s="4"/>
      <c r="AE121" s="6"/>
      <c r="AF121" s="6"/>
      <c r="AH121" s="4"/>
      <c r="AI121" s="8"/>
      <c r="AJ121" s="4"/>
    </row>
    <row r="122" spans="1:36" ht="15" x14ac:dyDescent="0.25">
      <c r="A122" s="107" t="s">
        <v>131</v>
      </c>
      <c r="B122" s="108"/>
      <c r="D122" s="109"/>
      <c r="E122" s="109"/>
      <c r="F122" s="109"/>
      <c r="G122" s="109"/>
      <c r="H122" s="109"/>
      <c r="I122" s="109"/>
      <c r="J122" s="109"/>
      <c r="K122" s="6"/>
      <c r="L122" s="110"/>
      <c r="M122" s="110"/>
      <c r="N122" s="110"/>
      <c r="O122" s="110"/>
      <c r="P122" s="6"/>
      <c r="R122" s="4"/>
      <c r="S122" s="4"/>
      <c r="T122" s="6"/>
      <c r="Y122" s="6"/>
      <c r="Z122" s="6"/>
      <c r="AC122" s="4"/>
      <c r="AE122" s="6"/>
      <c r="AF122" s="6"/>
      <c r="AH122" s="4"/>
      <c r="AI122" s="8"/>
      <c r="AJ122" s="4"/>
    </row>
    <row r="123" spans="1:36" ht="15" x14ac:dyDescent="0.25">
      <c r="A123" s="107" t="s">
        <v>132</v>
      </c>
      <c r="B123" s="108"/>
      <c r="D123" s="111"/>
      <c r="E123" s="111"/>
      <c r="F123" s="111"/>
      <c r="G123" s="111"/>
      <c r="H123" s="111"/>
      <c r="I123" s="111"/>
      <c r="J123" s="111"/>
      <c r="K123" s="6"/>
      <c r="L123" s="112"/>
      <c r="M123" s="112"/>
      <c r="N123" s="112"/>
      <c r="O123" s="112"/>
      <c r="P123" s="6"/>
      <c r="R123" s="4"/>
      <c r="S123" s="4"/>
      <c r="T123" s="6"/>
      <c r="Y123" s="6"/>
      <c r="Z123" s="6"/>
      <c r="AC123" s="4"/>
      <c r="AE123" s="6"/>
      <c r="AF123" s="6"/>
      <c r="AH123" s="4"/>
      <c r="AI123" s="8"/>
      <c r="AJ123" s="4"/>
    </row>
    <row r="124" spans="1:36" ht="15" x14ac:dyDescent="0.25">
      <c r="A124" s="107" t="s">
        <v>133</v>
      </c>
      <c r="B124" s="108"/>
      <c r="D124" s="111"/>
      <c r="E124" s="111"/>
      <c r="F124" s="111"/>
      <c r="G124" s="111"/>
      <c r="H124" s="111"/>
      <c r="I124" s="111"/>
      <c r="J124" s="111"/>
      <c r="K124" s="6"/>
      <c r="L124" s="112"/>
      <c r="M124" s="112"/>
      <c r="N124" s="112"/>
      <c r="O124" s="112"/>
      <c r="P124" s="6"/>
      <c r="R124" s="4"/>
      <c r="S124" s="4"/>
      <c r="T124" s="6"/>
      <c r="Y124" s="6"/>
      <c r="Z124" s="6"/>
      <c r="AC124" s="4"/>
      <c r="AE124" s="6"/>
      <c r="AF124" s="6"/>
      <c r="AH124" s="4"/>
      <c r="AI124" s="8"/>
      <c r="AJ124" s="4"/>
    </row>
    <row r="125" spans="1:36" ht="15" x14ac:dyDescent="0.25">
      <c r="A125" s="107" t="s">
        <v>134</v>
      </c>
      <c r="B125" s="108"/>
      <c r="D125" s="113"/>
      <c r="E125" s="113"/>
      <c r="F125" s="113"/>
      <c r="G125" s="113"/>
      <c r="H125" s="113"/>
      <c r="I125" s="113"/>
      <c r="J125" s="113"/>
      <c r="K125" s="6"/>
      <c r="L125" s="113"/>
      <c r="M125" s="113"/>
      <c r="N125" s="113"/>
      <c r="O125" s="113"/>
      <c r="P125" s="6"/>
      <c r="R125" s="4"/>
      <c r="S125" s="4"/>
      <c r="T125" s="6"/>
      <c r="Y125" s="6"/>
      <c r="Z125" s="6"/>
      <c r="AC125" s="4"/>
      <c r="AE125" s="6"/>
      <c r="AF125" s="6"/>
      <c r="AH125" s="4"/>
      <c r="AI125" s="8"/>
      <c r="AJ125" s="4"/>
    </row>
    <row r="126" spans="1:36" ht="15" x14ac:dyDescent="0.25">
      <c r="A126" s="107" t="s">
        <v>135</v>
      </c>
      <c r="B126" s="114"/>
      <c r="D126" s="113"/>
      <c r="E126" s="113"/>
      <c r="F126" s="113"/>
      <c r="G126" s="113"/>
      <c r="H126" s="113"/>
      <c r="I126" s="113"/>
      <c r="J126" s="113"/>
      <c r="K126" s="6"/>
      <c r="L126" s="113"/>
      <c r="M126" s="113"/>
      <c r="N126" s="113"/>
      <c r="O126" s="113"/>
      <c r="P126" s="113"/>
      <c r="Q126" s="113"/>
      <c r="R126" s="115"/>
      <c r="S126" s="115"/>
      <c r="T126" s="6"/>
      <c r="Y126" s="6"/>
      <c r="Z126" s="6"/>
      <c r="AC126" s="4"/>
      <c r="AE126" s="6"/>
      <c r="AF126" s="6"/>
      <c r="AH126" s="4"/>
      <c r="AI126" s="8"/>
      <c r="AJ126" s="4"/>
    </row>
    <row r="127" spans="1:36" ht="15" x14ac:dyDescent="0.25">
      <c r="A127" s="107" t="s">
        <v>136</v>
      </c>
      <c r="B127" s="114"/>
      <c r="D127" s="113"/>
      <c r="E127" s="113"/>
      <c r="F127" s="113"/>
      <c r="G127" s="113"/>
      <c r="H127" s="113"/>
      <c r="I127" s="113"/>
      <c r="J127" s="113"/>
      <c r="K127" s="6"/>
      <c r="L127" s="113"/>
      <c r="M127" s="113"/>
      <c r="N127" s="113"/>
      <c r="O127" s="113"/>
      <c r="P127" s="113"/>
      <c r="Q127" s="113"/>
      <c r="R127" s="115"/>
      <c r="S127" s="115"/>
      <c r="T127" s="6"/>
      <c r="Y127" s="6"/>
      <c r="Z127" s="6"/>
      <c r="AC127" s="4"/>
      <c r="AE127" s="6"/>
      <c r="AF127" s="6"/>
      <c r="AH127" s="4"/>
      <c r="AI127" s="8"/>
      <c r="AJ127" s="4"/>
    </row>
    <row r="128" spans="1:36" ht="15" x14ac:dyDescent="0.25">
      <c r="A128" s="107" t="s">
        <v>137</v>
      </c>
      <c r="B128" s="114"/>
      <c r="D128" s="113"/>
      <c r="E128" s="113"/>
      <c r="F128" s="113"/>
      <c r="G128" s="113"/>
      <c r="H128" s="113"/>
      <c r="I128" s="113"/>
      <c r="J128" s="113"/>
      <c r="K128" s="6"/>
      <c r="L128" s="113"/>
      <c r="M128" s="113"/>
      <c r="N128" s="113"/>
      <c r="O128" s="113"/>
      <c r="P128" s="113"/>
      <c r="Q128" s="113"/>
      <c r="R128" s="115"/>
      <c r="S128" s="115"/>
      <c r="T128" s="6"/>
      <c r="Y128" s="6"/>
      <c r="Z128" s="6"/>
      <c r="AC128" s="4"/>
      <c r="AE128" s="6"/>
      <c r="AF128" s="6"/>
      <c r="AH128" s="4"/>
      <c r="AI128" s="8"/>
      <c r="AJ128" s="4"/>
    </row>
    <row r="129" spans="1:38" ht="15" x14ac:dyDescent="0.25">
      <c r="A129" s="107" t="s">
        <v>138</v>
      </c>
      <c r="B129" s="116"/>
      <c r="D129" s="6"/>
      <c r="E129" s="113"/>
      <c r="F129" s="113"/>
      <c r="G129" s="113"/>
      <c r="H129" s="113"/>
      <c r="I129" s="113"/>
      <c r="J129" s="113"/>
      <c r="K129" s="113"/>
      <c r="L129" s="113"/>
      <c r="M129" s="6"/>
      <c r="N129" s="113"/>
      <c r="O129" s="113"/>
      <c r="P129" s="113"/>
      <c r="Q129" s="113"/>
      <c r="R129" s="113"/>
      <c r="S129" s="113"/>
      <c r="T129" s="113"/>
      <c r="U129" s="115"/>
      <c r="V129" s="105"/>
      <c r="Y129" s="6"/>
      <c r="Z129" s="6"/>
      <c r="AD129" s="6"/>
      <c r="AE129" s="4"/>
      <c r="AJ129" s="4"/>
      <c r="AK129" s="8"/>
      <c r="AL129" s="4"/>
    </row>
    <row r="130" spans="1:38" ht="15" x14ac:dyDescent="0.25">
      <c r="A130" s="107" t="s">
        <v>139</v>
      </c>
      <c r="B130" s="116"/>
      <c r="D130" s="6"/>
      <c r="E130" s="113"/>
      <c r="F130" s="113"/>
      <c r="G130" s="113"/>
      <c r="H130" s="113"/>
      <c r="I130" s="113"/>
      <c r="J130" s="113"/>
      <c r="K130" s="113"/>
      <c r="L130" s="113"/>
      <c r="M130" s="6"/>
      <c r="N130" s="113"/>
      <c r="O130" s="113"/>
      <c r="P130" s="113"/>
      <c r="Q130" s="113"/>
      <c r="R130" s="113"/>
      <c r="S130" s="113"/>
      <c r="T130" s="113"/>
      <c r="U130" s="115"/>
      <c r="V130" s="105"/>
      <c r="Y130" s="6"/>
      <c r="Z130" s="6"/>
      <c r="AD130" s="6"/>
      <c r="AE130" s="4"/>
      <c r="AJ130" s="4"/>
      <c r="AK130" s="8"/>
      <c r="AL130" s="4"/>
    </row>
    <row r="131" spans="1:38" ht="15" x14ac:dyDescent="0.25">
      <c r="A131" s="107" t="s">
        <v>140</v>
      </c>
      <c r="B131" s="116"/>
      <c r="D131" s="6"/>
      <c r="E131" s="113"/>
      <c r="F131" s="113"/>
      <c r="G131" s="113"/>
      <c r="H131" s="113"/>
      <c r="I131" s="113"/>
      <c r="J131" s="113"/>
      <c r="K131" s="113"/>
      <c r="L131" s="113"/>
      <c r="M131" s="6"/>
      <c r="N131" s="113"/>
      <c r="O131" s="113"/>
      <c r="P131" s="113"/>
      <c r="Q131" s="113"/>
      <c r="R131" s="113"/>
      <c r="S131" s="113"/>
      <c r="T131" s="113"/>
      <c r="U131" s="115"/>
      <c r="V131" s="105"/>
      <c r="Y131" s="6"/>
      <c r="Z131" s="6"/>
      <c r="AD131" s="6"/>
      <c r="AE131" s="4"/>
      <c r="AJ131" s="4"/>
      <c r="AK131" s="8"/>
      <c r="AL131" s="4"/>
    </row>
    <row r="132" spans="1:38" ht="15" x14ac:dyDescent="0.25">
      <c r="A132" s="107" t="s">
        <v>141</v>
      </c>
      <c r="B132" s="116"/>
      <c r="D132" s="6"/>
      <c r="E132" s="113"/>
      <c r="F132" s="113"/>
      <c r="G132" s="113"/>
      <c r="H132" s="113"/>
      <c r="I132" s="113"/>
      <c r="J132" s="113"/>
      <c r="K132" s="113"/>
      <c r="L132" s="113"/>
      <c r="M132" s="6"/>
      <c r="N132" s="113"/>
      <c r="O132" s="113"/>
      <c r="P132" s="113"/>
      <c r="Q132" s="113"/>
      <c r="R132" s="113"/>
      <c r="S132" s="113"/>
      <c r="T132" s="113"/>
      <c r="U132" s="115"/>
      <c r="V132" s="105"/>
      <c r="Y132" s="6"/>
      <c r="Z132" s="6"/>
      <c r="AD132" s="6"/>
      <c r="AE132" s="4"/>
      <c r="AJ132" s="4"/>
      <c r="AK132" s="8"/>
      <c r="AL132" s="4"/>
    </row>
    <row r="133" spans="1:38" ht="15" x14ac:dyDescent="0.25">
      <c r="A133" s="107" t="s">
        <v>142</v>
      </c>
      <c r="B133" s="116"/>
      <c r="D133" s="6"/>
      <c r="E133" s="113"/>
      <c r="F133" s="113"/>
      <c r="G133" s="113"/>
      <c r="H133" s="113"/>
      <c r="I133" s="113"/>
      <c r="J133" s="113"/>
      <c r="K133" s="113"/>
      <c r="L133" s="113"/>
      <c r="M133" s="6"/>
      <c r="N133" s="113"/>
      <c r="O133" s="113"/>
      <c r="P133" s="113"/>
      <c r="Q133" s="113"/>
      <c r="R133" s="113"/>
      <c r="S133" s="113"/>
      <c r="T133" s="113"/>
      <c r="U133" s="115"/>
      <c r="V133" s="105"/>
      <c r="Y133" s="6"/>
      <c r="Z133" s="6"/>
      <c r="AD133" s="6"/>
      <c r="AE133" s="4"/>
      <c r="AJ133" s="4"/>
      <c r="AK133" s="8"/>
      <c r="AL133" s="4"/>
    </row>
    <row r="134" spans="1:38" ht="15" x14ac:dyDescent="0.25">
      <c r="A134" s="107" t="s">
        <v>143</v>
      </c>
      <c r="B134" s="116"/>
      <c r="D134" s="6"/>
      <c r="E134" s="113"/>
      <c r="F134" s="113"/>
      <c r="G134" s="113"/>
      <c r="H134" s="113"/>
      <c r="I134" s="113"/>
      <c r="J134" s="113"/>
      <c r="K134" s="113"/>
      <c r="L134" s="113"/>
      <c r="M134" s="6"/>
      <c r="N134" s="113"/>
      <c r="O134" s="113"/>
      <c r="P134" s="113"/>
      <c r="Q134" s="113"/>
      <c r="R134" s="113"/>
      <c r="S134" s="113"/>
      <c r="T134" s="113"/>
      <c r="U134" s="115"/>
      <c r="V134" s="105"/>
      <c r="Y134" s="6"/>
      <c r="Z134" s="6"/>
      <c r="AD134" s="6"/>
      <c r="AE134" s="4"/>
      <c r="AJ134" s="4"/>
      <c r="AK134" s="8"/>
      <c r="AL134" s="4"/>
    </row>
    <row r="135" spans="1:38" ht="15" x14ac:dyDescent="0.25">
      <c r="A135" s="107" t="s">
        <v>144</v>
      </c>
      <c r="B135" s="116"/>
      <c r="D135" s="6"/>
      <c r="E135" s="113"/>
      <c r="F135" s="113"/>
      <c r="G135" s="113"/>
      <c r="H135" s="113"/>
      <c r="I135" s="113"/>
      <c r="J135" s="113"/>
      <c r="K135" s="113"/>
      <c r="L135" s="113"/>
      <c r="M135" s="6"/>
      <c r="N135" s="113"/>
      <c r="O135" s="113"/>
      <c r="P135" s="113"/>
      <c r="Q135" s="113"/>
      <c r="R135" s="113"/>
      <c r="S135" s="113"/>
      <c r="T135" s="113"/>
      <c r="U135" s="115"/>
      <c r="V135" s="105"/>
      <c r="Y135" s="6"/>
      <c r="Z135" s="6"/>
      <c r="AD135" s="6"/>
      <c r="AE135" s="4"/>
      <c r="AJ135" s="4"/>
      <c r="AK135" s="8"/>
      <c r="AL135" s="4"/>
    </row>
    <row r="136" spans="1:38" ht="15" x14ac:dyDescent="0.25">
      <c r="A136" s="107" t="s">
        <v>145</v>
      </c>
      <c r="B136" s="116"/>
      <c r="D136" s="6"/>
      <c r="E136" s="113"/>
      <c r="F136" s="113"/>
      <c r="G136" s="113"/>
      <c r="H136" s="113"/>
      <c r="I136" s="113"/>
      <c r="J136" s="113"/>
      <c r="K136" s="113"/>
      <c r="L136" s="113"/>
      <c r="M136" s="6"/>
      <c r="N136" s="113"/>
      <c r="O136" s="113"/>
      <c r="P136" s="113"/>
      <c r="Q136" s="113"/>
      <c r="R136" s="113"/>
      <c r="S136" s="113"/>
      <c r="T136" s="113"/>
      <c r="U136" s="115"/>
      <c r="V136" s="105"/>
      <c r="Y136" s="6"/>
      <c r="Z136" s="6"/>
      <c r="AD136" s="6"/>
      <c r="AE136" s="4"/>
      <c r="AJ136" s="4"/>
      <c r="AK136" s="8"/>
      <c r="AL136" s="4"/>
    </row>
    <row r="137" spans="1:38" ht="15" x14ac:dyDescent="0.25">
      <c r="A137" s="107" t="s">
        <v>146</v>
      </c>
      <c r="B137" s="117"/>
      <c r="D137" s="6"/>
      <c r="E137" s="103"/>
      <c r="F137" s="103"/>
      <c r="G137" s="103"/>
      <c r="H137" s="103"/>
      <c r="I137" s="103"/>
      <c r="J137" s="103"/>
      <c r="K137" s="103"/>
      <c r="L137" s="103"/>
      <c r="M137" s="6"/>
      <c r="N137" s="103"/>
      <c r="O137" s="103"/>
      <c r="P137" s="103"/>
      <c r="Q137" s="103"/>
      <c r="R137" s="103"/>
      <c r="S137" s="103"/>
      <c r="T137" s="103"/>
      <c r="U137" s="105"/>
      <c r="Y137" s="6"/>
      <c r="Z137" s="6"/>
      <c r="AE137" s="4"/>
      <c r="AF137" s="6"/>
      <c r="AI137" s="4"/>
      <c r="AJ137" s="8"/>
      <c r="AK137" s="4"/>
    </row>
    <row r="138" spans="1:38" ht="12.75" x14ac:dyDescent="0.2">
      <c r="A138" s="107" t="s">
        <v>147</v>
      </c>
    </row>
    <row r="139" spans="1:38" ht="15" x14ac:dyDescent="0.2">
      <c r="A139" s="101"/>
    </row>
    <row r="140" spans="1:38" x14ac:dyDescent="0.2">
      <c r="C140" s="6"/>
      <c r="D140" s="6"/>
      <c r="E140" s="6"/>
    </row>
    <row r="141" spans="1:38" x14ac:dyDescent="0.2">
      <c r="C141" s="6"/>
      <c r="D141" s="6"/>
      <c r="E141" s="6"/>
    </row>
    <row r="142" spans="1:38" x14ac:dyDescent="0.2">
      <c r="C142" s="6"/>
      <c r="D142" s="6"/>
      <c r="E142" s="6"/>
    </row>
    <row r="143" spans="1:38" x14ac:dyDescent="0.2">
      <c r="C143" s="6"/>
      <c r="D143" s="6"/>
      <c r="E143" s="6"/>
    </row>
    <row r="144" spans="1:38" x14ac:dyDescent="0.2">
      <c r="C144" s="6"/>
      <c r="D144" s="6"/>
      <c r="E144" s="6"/>
    </row>
    <row r="145" spans="1:11" x14ac:dyDescent="0.2">
      <c r="E145" s="118"/>
    </row>
    <row r="148" spans="1:1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</sheetData>
  <mergeCells count="2">
    <mergeCell ref="C3:I3"/>
    <mergeCell ref="L3:R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2"/>
  <sheetViews>
    <sheetView topLeftCell="A4" workbookViewId="0">
      <selection activeCell="C12" sqref="C12"/>
    </sheetView>
  </sheetViews>
  <sheetFormatPr defaultRowHeight="12" x14ac:dyDescent="0.2"/>
  <cols>
    <col min="1" max="1" width="30.7109375" style="6" customWidth="1"/>
    <col min="2" max="2" width="28.7109375" style="6" bestFit="1" customWidth="1"/>
    <col min="3" max="3" width="9.85546875" style="10" bestFit="1" customWidth="1"/>
    <col min="4" max="5" width="10.85546875" style="3" bestFit="1" customWidth="1"/>
    <col min="6" max="6" width="13.5703125" style="3" bestFit="1" customWidth="1"/>
    <col min="7" max="7" width="10.85546875" style="3" bestFit="1" customWidth="1"/>
    <col min="8" max="8" width="9" style="3" bestFit="1" customWidth="1"/>
    <col min="9" max="9" width="11.85546875" style="3" bestFit="1" customWidth="1"/>
    <col min="10" max="10" width="82.85546875" style="6" bestFit="1" customWidth="1"/>
    <col min="11" max="11" width="9.85546875" style="4" bestFit="1" customWidth="1"/>
    <col min="12" max="12" width="13.5703125" style="6" bestFit="1" customWidth="1"/>
    <col min="13" max="13" width="9.85546875" style="4" bestFit="1" customWidth="1"/>
    <col min="14" max="14" width="13.140625" style="4" bestFit="1" customWidth="1"/>
    <col min="15" max="15" width="15" style="6" bestFit="1" customWidth="1"/>
    <col min="16" max="16" width="9.85546875" style="6" bestFit="1" customWidth="1"/>
    <col min="17" max="17" width="9.42578125" style="6" bestFit="1" customWidth="1"/>
    <col min="18" max="18" width="11.42578125" style="4" bestFit="1" customWidth="1"/>
    <col min="19" max="19" width="11.85546875" style="8" bestFit="1" customWidth="1"/>
    <col min="20" max="20" width="12" style="4" bestFit="1" customWidth="1"/>
    <col min="21" max="21" width="14.85546875" style="6" bestFit="1" customWidth="1"/>
    <col min="22" max="22" width="10.85546875" style="6" bestFit="1" customWidth="1"/>
    <col min="23" max="23" width="14.7109375" style="6" bestFit="1" customWidth="1"/>
    <col min="24" max="24" width="17.7109375" style="6" customWidth="1"/>
    <col min="25" max="25" width="11.5703125" style="6" customWidth="1"/>
    <col min="26" max="16384" width="9.140625" style="6"/>
  </cols>
  <sheetData>
    <row r="1" spans="1:30" x14ac:dyDescent="0.2">
      <c r="A1" s="7" t="s">
        <v>0</v>
      </c>
      <c r="C1" s="119"/>
      <c r="P1" s="7"/>
    </row>
    <row r="2" spans="1:30" x14ac:dyDescent="0.2">
      <c r="A2" s="6" t="s">
        <v>148</v>
      </c>
      <c r="K2" s="6"/>
      <c r="M2" s="6"/>
      <c r="N2" s="6"/>
      <c r="O2" s="4"/>
      <c r="P2" s="8"/>
      <c r="Q2" s="4"/>
      <c r="R2" s="6"/>
      <c r="S2" s="6"/>
      <c r="T2" s="6"/>
    </row>
    <row r="3" spans="1:30" x14ac:dyDescent="0.2">
      <c r="C3" s="146" t="s">
        <v>149</v>
      </c>
      <c r="D3" s="146"/>
      <c r="E3" s="146"/>
      <c r="F3" s="146"/>
      <c r="G3" s="146"/>
      <c r="H3" s="146"/>
      <c r="I3" s="146"/>
      <c r="K3" s="6"/>
      <c r="N3" s="6"/>
      <c r="O3" s="4"/>
      <c r="P3" s="4"/>
      <c r="R3" s="6"/>
      <c r="S3" s="4"/>
      <c r="T3" s="8"/>
      <c r="U3" s="4"/>
    </row>
    <row r="4" spans="1:30" x14ac:dyDescent="0.2">
      <c r="B4" s="120" t="s">
        <v>150</v>
      </c>
      <c r="C4" s="120">
        <v>2010</v>
      </c>
      <c r="D4" s="120">
        <v>2011</v>
      </c>
      <c r="E4" s="120">
        <v>2012</v>
      </c>
      <c r="F4" s="120">
        <v>2013</v>
      </c>
      <c r="G4" s="120">
        <v>2014</v>
      </c>
      <c r="H4" s="120">
        <v>2015</v>
      </c>
      <c r="I4" s="120" t="s">
        <v>5</v>
      </c>
      <c r="J4" s="14" t="s">
        <v>4</v>
      </c>
      <c r="K4" s="6"/>
      <c r="L4" s="7"/>
      <c r="M4" s="6"/>
      <c r="N4" s="6"/>
      <c r="P4" s="16"/>
      <c r="Q4" s="4"/>
      <c r="R4" s="6"/>
      <c r="S4" s="6"/>
      <c r="T4" s="6"/>
      <c r="U4" s="4"/>
      <c r="V4" s="8"/>
      <c r="W4" s="4"/>
    </row>
    <row r="5" spans="1:30" x14ac:dyDescent="0.2">
      <c r="B5" s="121"/>
      <c r="C5" s="120"/>
      <c r="D5" s="120"/>
      <c r="E5" s="120"/>
      <c r="F5" s="120"/>
      <c r="G5" s="120"/>
      <c r="H5" s="120"/>
      <c r="I5" s="120"/>
      <c r="J5" s="122"/>
      <c r="K5" s="6"/>
      <c r="L5" s="7"/>
      <c r="M5" s="6"/>
      <c r="N5" s="6"/>
      <c r="P5" s="16"/>
      <c r="Q5" s="4"/>
      <c r="R5" s="6"/>
      <c r="S5" s="6"/>
      <c r="T5" s="6"/>
      <c r="U5" s="4"/>
      <c r="V5" s="8"/>
      <c r="W5" s="4"/>
    </row>
    <row r="6" spans="1:30" s="28" customFormat="1" x14ac:dyDescent="0.2">
      <c r="A6" s="23" t="s">
        <v>12</v>
      </c>
      <c r="B6" s="24"/>
      <c r="C6" s="25">
        <f>C7+C8</f>
        <v>7349412.8366666669</v>
      </c>
      <c r="D6" s="25">
        <f t="shared" ref="D6:I6" si="0">D7+D8</f>
        <v>11282344.566394167</v>
      </c>
      <c r="E6" s="25">
        <f t="shared" si="0"/>
        <v>41386168.808132209</v>
      </c>
      <c r="F6" s="25">
        <f t="shared" si="0"/>
        <v>267186990.85316983</v>
      </c>
      <c r="G6" s="25">
        <f t="shared" si="0"/>
        <v>13636628.4769</v>
      </c>
      <c r="H6" s="25">
        <f t="shared" si="0"/>
        <v>234806</v>
      </c>
      <c r="I6" s="25">
        <f t="shared" si="0"/>
        <v>341076351.54126292</v>
      </c>
      <c r="J6" s="26"/>
      <c r="K6" s="25">
        <f>K7+K8</f>
        <v>0</v>
      </c>
      <c r="L6" s="25">
        <f t="shared" ref="L6:Q6" si="1">L7+L8</f>
        <v>0</v>
      </c>
      <c r="M6" s="25">
        <f t="shared" si="1"/>
        <v>0</v>
      </c>
      <c r="N6" s="25">
        <f t="shared" si="1"/>
        <v>0</v>
      </c>
      <c r="O6" s="25">
        <f t="shared" si="1"/>
        <v>0</v>
      </c>
      <c r="P6" s="25">
        <f t="shared" si="1"/>
        <v>0</v>
      </c>
      <c r="Q6" s="25">
        <f t="shared" si="1"/>
        <v>0</v>
      </c>
      <c r="R6" s="27"/>
      <c r="U6" s="29"/>
      <c r="W6" s="29"/>
      <c r="X6" s="29"/>
      <c r="AB6" s="29"/>
      <c r="AC6" s="30"/>
      <c r="AD6" s="29"/>
    </row>
    <row r="7" spans="1:30" x14ac:dyDescent="0.2">
      <c r="A7" s="123" t="s">
        <v>151</v>
      </c>
      <c r="B7" s="124"/>
      <c r="C7" s="125">
        <f t="shared" ref="C7:I7" si="2">SUM(C10:C30)</f>
        <v>7349412.8366666669</v>
      </c>
      <c r="D7" s="125">
        <f t="shared" si="2"/>
        <v>11282344.566394167</v>
      </c>
      <c r="E7" s="125">
        <f t="shared" si="2"/>
        <v>41386168.808132209</v>
      </c>
      <c r="F7" s="125">
        <f t="shared" si="2"/>
        <v>215601133.85316983</v>
      </c>
      <c r="G7" s="125">
        <f t="shared" si="2"/>
        <v>13636628.4769</v>
      </c>
      <c r="H7" s="125">
        <f t="shared" si="2"/>
        <v>234806</v>
      </c>
      <c r="I7" s="32">
        <f t="shared" si="2"/>
        <v>289490494.54126292</v>
      </c>
      <c r="J7" s="10"/>
      <c r="K7" s="6"/>
      <c r="L7" s="35"/>
      <c r="M7" s="6"/>
      <c r="N7" s="35"/>
      <c r="O7" s="35"/>
      <c r="R7" s="6"/>
      <c r="S7" s="35"/>
      <c r="T7" s="36"/>
      <c r="U7" s="35"/>
    </row>
    <row r="8" spans="1:30" x14ac:dyDescent="0.2">
      <c r="A8" s="123" t="s">
        <v>152</v>
      </c>
      <c r="B8" s="124"/>
      <c r="C8" s="125">
        <f>SUM(C34:C42)</f>
        <v>0</v>
      </c>
      <c r="D8" s="125">
        <f t="shared" ref="D8:H8" si="3">SUM(D34:D42)</f>
        <v>0</v>
      </c>
      <c r="E8" s="125">
        <f t="shared" si="3"/>
        <v>0</v>
      </c>
      <c r="F8" s="125">
        <f t="shared" si="3"/>
        <v>51585857</v>
      </c>
      <c r="G8" s="125">
        <f t="shared" si="3"/>
        <v>0</v>
      </c>
      <c r="H8" s="125">
        <f t="shared" si="3"/>
        <v>0</v>
      </c>
      <c r="I8" s="32">
        <f>SUM(I34:I42)</f>
        <v>51585857</v>
      </c>
      <c r="J8" s="10"/>
      <c r="K8" s="6"/>
      <c r="L8" s="35"/>
      <c r="M8" s="6"/>
      <c r="N8" s="35"/>
      <c r="O8" s="35"/>
      <c r="R8" s="6"/>
      <c r="S8" s="35"/>
      <c r="T8" s="36"/>
      <c r="U8" s="35"/>
    </row>
    <row r="9" spans="1:30" s="42" customFormat="1" ht="12.75" x14ac:dyDescent="0.2">
      <c r="A9" s="38" t="s">
        <v>28</v>
      </c>
      <c r="B9" s="39"/>
      <c r="C9" s="40"/>
      <c r="D9" s="41"/>
      <c r="E9" s="40"/>
      <c r="F9" s="40"/>
      <c r="G9" s="40"/>
      <c r="H9" s="40"/>
      <c r="I9" s="40"/>
      <c r="J9" s="40"/>
      <c r="K9" s="40"/>
      <c r="L9" s="41"/>
      <c r="M9" s="40"/>
      <c r="N9" s="40"/>
      <c r="O9" s="40"/>
      <c r="P9" s="40"/>
      <c r="Q9" s="40"/>
      <c r="R9" s="40"/>
      <c r="W9" s="41"/>
      <c r="X9" s="41"/>
      <c r="AB9" s="41"/>
      <c r="AC9" s="43"/>
      <c r="AD9" s="41"/>
    </row>
    <row r="10" spans="1:30" x14ac:dyDescent="0.2">
      <c r="A10" s="126" t="s">
        <v>29</v>
      </c>
      <c r="B10" s="45" t="s">
        <v>153</v>
      </c>
      <c r="C10" s="125">
        <v>0</v>
      </c>
      <c r="D10" s="125">
        <v>0</v>
      </c>
      <c r="E10" s="125">
        <v>7400000</v>
      </c>
      <c r="F10" s="125">
        <v>15558894</v>
      </c>
      <c r="G10" s="125">
        <v>0</v>
      </c>
      <c r="H10" s="125">
        <v>0</v>
      </c>
      <c r="I10" s="32">
        <f t="shared" ref="I10:I22" si="4">SUM(C10:H10)</f>
        <v>22958894</v>
      </c>
      <c r="J10" s="127" t="s">
        <v>154</v>
      </c>
      <c r="K10" s="6"/>
      <c r="M10" s="6"/>
      <c r="N10" s="6"/>
      <c r="R10" s="6"/>
      <c r="S10" s="6"/>
      <c r="T10" s="6"/>
    </row>
    <row r="11" spans="1:30" x14ac:dyDescent="0.2">
      <c r="A11" s="126" t="s">
        <v>155</v>
      </c>
      <c r="B11" s="45" t="s">
        <v>153</v>
      </c>
      <c r="C11" s="125">
        <v>0</v>
      </c>
      <c r="D11" s="125">
        <v>36600</v>
      </c>
      <c r="E11" s="125">
        <v>4644000</v>
      </c>
      <c r="F11" s="125">
        <v>632423</v>
      </c>
      <c r="G11" s="125">
        <v>0</v>
      </c>
      <c r="H11" s="125">
        <v>0</v>
      </c>
      <c r="I11" s="32">
        <f t="shared" si="4"/>
        <v>5313023</v>
      </c>
      <c r="J11" s="44" t="s">
        <v>156</v>
      </c>
      <c r="K11" s="6"/>
      <c r="M11" s="6"/>
      <c r="N11" s="6"/>
      <c r="R11" s="6"/>
      <c r="S11" s="6"/>
      <c r="T11" s="6"/>
    </row>
    <row r="12" spans="1:30" x14ac:dyDescent="0.2">
      <c r="A12" s="126" t="s">
        <v>35</v>
      </c>
      <c r="B12" s="45" t="s">
        <v>157</v>
      </c>
      <c r="C12" s="125">
        <v>0</v>
      </c>
      <c r="D12" s="125">
        <v>0</v>
      </c>
      <c r="E12" s="125">
        <v>65000</v>
      </c>
      <c r="F12" s="125">
        <v>793098</v>
      </c>
      <c r="G12" s="125">
        <v>15000</v>
      </c>
      <c r="H12" s="125">
        <v>0</v>
      </c>
      <c r="I12" s="32">
        <f t="shared" si="4"/>
        <v>873098</v>
      </c>
      <c r="J12" s="127" t="s">
        <v>158</v>
      </c>
      <c r="K12" s="6"/>
      <c r="M12" s="6"/>
      <c r="N12" s="6"/>
      <c r="R12" s="6"/>
      <c r="S12" s="6"/>
      <c r="T12" s="6"/>
    </row>
    <row r="13" spans="1:30" x14ac:dyDescent="0.2">
      <c r="A13" s="126" t="s">
        <v>159</v>
      </c>
      <c r="B13" s="45" t="s">
        <v>160</v>
      </c>
      <c r="C13" s="125">
        <v>645981.63</v>
      </c>
      <c r="D13" s="125">
        <v>1974947.8199999998</v>
      </c>
      <c r="E13" s="125">
        <v>695000</v>
      </c>
      <c r="F13" s="125">
        <v>520000</v>
      </c>
      <c r="G13" s="125">
        <v>159999</v>
      </c>
      <c r="H13" s="125">
        <v>0</v>
      </c>
      <c r="I13" s="32">
        <f t="shared" si="4"/>
        <v>3995928.4499999997</v>
      </c>
      <c r="J13" s="44" t="s">
        <v>161</v>
      </c>
      <c r="K13" s="35"/>
      <c r="L13" s="35"/>
      <c r="M13" s="6"/>
      <c r="N13" s="6"/>
      <c r="P13" s="35"/>
      <c r="Q13" s="36"/>
      <c r="R13" s="35"/>
      <c r="S13" s="6"/>
      <c r="T13" s="6"/>
    </row>
    <row r="14" spans="1:30" x14ac:dyDescent="0.2">
      <c r="A14" s="126" t="s">
        <v>162</v>
      </c>
      <c r="B14" s="45"/>
      <c r="C14" s="125">
        <v>75342</v>
      </c>
      <c r="D14" s="125">
        <v>48000</v>
      </c>
      <c r="E14" s="125">
        <v>74000</v>
      </c>
      <c r="F14" s="125">
        <v>287158</v>
      </c>
      <c r="G14" s="125">
        <v>0</v>
      </c>
      <c r="H14" s="125">
        <v>0</v>
      </c>
      <c r="I14" s="32">
        <f t="shared" si="4"/>
        <v>484500</v>
      </c>
      <c r="J14" s="44"/>
      <c r="K14" s="35"/>
      <c r="L14" s="35"/>
      <c r="M14" s="6"/>
      <c r="N14" s="6"/>
      <c r="P14" s="35"/>
      <c r="Q14" s="36"/>
      <c r="R14" s="35"/>
      <c r="S14" s="6"/>
      <c r="T14" s="6"/>
    </row>
    <row r="15" spans="1:30" x14ac:dyDescent="0.2">
      <c r="A15" s="126" t="s">
        <v>43</v>
      </c>
      <c r="B15" s="45" t="s">
        <v>163</v>
      </c>
      <c r="C15" s="125">
        <v>1205679.54</v>
      </c>
      <c r="D15" s="125">
        <v>232212</v>
      </c>
      <c r="E15" s="125">
        <v>928896</v>
      </c>
      <c r="F15" s="125">
        <v>2143458</v>
      </c>
      <c r="G15" s="125">
        <v>0</v>
      </c>
      <c r="H15" s="125">
        <v>0</v>
      </c>
      <c r="I15" s="32">
        <f t="shared" si="4"/>
        <v>4510245.54</v>
      </c>
      <c r="J15" s="44"/>
      <c r="K15" s="6"/>
      <c r="M15" s="6"/>
      <c r="N15" s="6"/>
      <c r="R15" s="6"/>
      <c r="S15" s="6"/>
      <c r="T15" s="6"/>
    </row>
    <row r="16" spans="1:30" x14ac:dyDescent="0.2">
      <c r="A16" s="126" t="s">
        <v>48</v>
      </c>
      <c r="B16" s="21"/>
      <c r="C16" s="128">
        <v>2370394.4</v>
      </c>
      <c r="D16" s="128">
        <v>1845500</v>
      </c>
      <c r="E16" s="128">
        <v>640000</v>
      </c>
      <c r="F16" s="128">
        <v>720000</v>
      </c>
      <c r="G16" s="128">
        <v>210000</v>
      </c>
      <c r="H16" s="128">
        <v>0</v>
      </c>
      <c r="I16" s="129">
        <f t="shared" si="4"/>
        <v>5785894.4000000004</v>
      </c>
      <c r="J16" s="127"/>
      <c r="K16" s="6"/>
      <c r="M16" s="6"/>
      <c r="N16" s="6"/>
      <c r="R16" s="6"/>
      <c r="S16" s="6"/>
      <c r="T16" s="6"/>
    </row>
    <row r="17" spans="1:30" x14ac:dyDescent="0.2">
      <c r="A17" s="126" t="s">
        <v>164</v>
      </c>
      <c r="B17" s="45" t="s">
        <v>165</v>
      </c>
      <c r="C17" s="125">
        <v>82284</v>
      </c>
      <c r="D17" s="125">
        <v>500000</v>
      </c>
      <c r="E17" s="125">
        <v>100000</v>
      </c>
      <c r="F17" s="125">
        <v>335000</v>
      </c>
      <c r="G17" s="125">
        <v>87137</v>
      </c>
      <c r="H17" s="125">
        <v>0</v>
      </c>
      <c r="I17" s="32">
        <f t="shared" si="4"/>
        <v>1104421</v>
      </c>
      <c r="J17" s="44"/>
      <c r="K17" s="6"/>
      <c r="M17" s="6"/>
      <c r="N17" s="6"/>
      <c r="R17" s="6"/>
      <c r="S17" s="6"/>
      <c r="T17" s="6"/>
    </row>
    <row r="18" spans="1:30" x14ac:dyDescent="0.2">
      <c r="A18" s="126" t="s">
        <v>56</v>
      </c>
      <c r="B18" s="45"/>
      <c r="C18" s="125">
        <v>0</v>
      </c>
      <c r="D18" s="125">
        <v>0</v>
      </c>
      <c r="E18" s="125">
        <v>2036250</v>
      </c>
      <c r="F18" s="125">
        <v>2000000</v>
      </c>
      <c r="G18" s="125">
        <v>0</v>
      </c>
      <c r="H18" s="125">
        <v>0</v>
      </c>
      <c r="I18" s="32">
        <f t="shared" si="4"/>
        <v>4036250</v>
      </c>
      <c r="J18" s="44" t="s">
        <v>57</v>
      </c>
      <c r="K18" s="6"/>
      <c r="M18" s="6"/>
      <c r="N18" s="6"/>
      <c r="R18" s="6"/>
      <c r="S18" s="6"/>
      <c r="T18" s="6"/>
    </row>
    <row r="19" spans="1:30" x14ac:dyDescent="0.2">
      <c r="A19" s="130" t="s">
        <v>58</v>
      </c>
      <c r="B19" s="131"/>
      <c r="C19" s="125">
        <v>890871.91</v>
      </c>
      <c r="D19" s="125">
        <v>1362127</v>
      </c>
      <c r="E19" s="125">
        <v>1238704</v>
      </c>
      <c r="F19" s="125">
        <v>1107147</v>
      </c>
      <c r="G19" s="125">
        <v>0</v>
      </c>
      <c r="H19" s="125">
        <v>0</v>
      </c>
      <c r="I19" s="32">
        <f t="shared" si="4"/>
        <v>4598849.91</v>
      </c>
      <c r="J19" s="21" t="s">
        <v>166</v>
      </c>
      <c r="K19" s="6"/>
      <c r="M19" s="6"/>
      <c r="N19" s="6"/>
      <c r="R19" s="6"/>
      <c r="S19" s="6"/>
      <c r="T19" s="6"/>
    </row>
    <row r="20" spans="1:30" x14ac:dyDescent="0.2">
      <c r="A20" s="126" t="s">
        <v>66</v>
      </c>
      <c r="B20" s="45"/>
      <c r="C20" s="125">
        <v>25750</v>
      </c>
      <c r="D20" s="125">
        <v>1369250</v>
      </c>
      <c r="E20" s="125">
        <v>6319200</v>
      </c>
      <c r="F20" s="125">
        <v>3602800</v>
      </c>
      <c r="G20" s="125">
        <v>308898</v>
      </c>
      <c r="H20" s="125">
        <v>0</v>
      </c>
      <c r="I20" s="32">
        <f t="shared" si="4"/>
        <v>11625898</v>
      </c>
      <c r="J20" s="44" t="s">
        <v>167</v>
      </c>
      <c r="K20" s="6"/>
      <c r="M20" s="6"/>
      <c r="N20" s="6"/>
      <c r="R20" s="6"/>
      <c r="S20" s="6"/>
      <c r="T20" s="6"/>
    </row>
    <row r="21" spans="1:30" x14ac:dyDescent="0.2">
      <c r="A21" s="132" t="s">
        <v>68</v>
      </c>
      <c r="B21" s="45" t="s">
        <v>168</v>
      </c>
      <c r="C21" s="125">
        <v>267665.03000000003</v>
      </c>
      <c r="D21" s="125">
        <v>704500</v>
      </c>
      <c r="E21" s="125">
        <v>958000</v>
      </c>
      <c r="F21" s="125">
        <v>255000</v>
      </c>
      <c r="G21" s="125">
        <v>8632</v>
      </c>
      <c r="H21" s="125">
        <v>0</v>
      </c>
      <c r="I21" s="32">
        <f t="shared" si="4"/>
        <v>2193797.0300000003</v>
      </c>
      <c r="J21" s="44"/>
      <c r="K21" s="8"/>
      <c r="L21" s="4"/>
      <c r="M21" s="6"/>
      <c r="N21" s="6"/>
      <c r="R21" s="6"/>
      <c r="S21" s="6"/>
      <c r="T21" s="6"/>
    </row>
    <row r="22" spans="1:30" x14ac:dyDescent="0.2">
      <c r="A22" s="132" t="s">
        <v>81</v>
      </c>
      <c r="B22" s="133" t="s">
        <v>153</v>
      </c>
      <c r="C22" s="125">
        <v>937244.04</v>
      </c>
      <c r="D22" s="125">
        <v>1110001</v>
      </c>
      <c r="E22" s="125">
        <v>1247345</v>
      </c>
      <c r="F22" s="125">
        <v>1920000</v>
      </c>
      <c r="G22" s="125">
        <v>466992</v>
      </c>
      <c r="H22" s="125">
        <v>20000</v>
      </c>
      <c r="I22" s="32">
        <f t="shared" si="4"/>
        <v>5701582.04</v>
      </c>
      <c r="J22" s="44"/>
      <c r="K22" s="6"/>
      <c r="M22" s="35"/>
      <c r="N22" s="36"/>
      <c r="O22" s="35"/>
      <c r="R22" s="6"/>
      <c r="S22" s="6"/>
      <c r="T22" s="6"/>
    </row>
    <row r="23" spans="1:30" s="28" customFormat="1" x14ac:dyDescent="0.2">
      <c r="A23" s="126" t="s">
        <v>96</v>
      </c>
      <c r="B23" s="45"/>
      <c r="C23" s="125">
        <v>0</v>
      </c>
      <c r="D23" s="125">
        <v>0</v>
      </c>
      <c r="E23" s="125">
        <v>8050000</v>
      </c>
      <c r="F23" s="125">
        <v>130500000</v>
      </c>
      <c r="G23" s="125">
        <v>7882324</v>
      </c>
      <c r="H23" s="125">
        <v>0</v>
      </c>
      <c r="I23" s="32">
        <v>146432324</v>
      </c>
      <c r="J23" s="127"/>
      <c r="L23" s="29"/>
      <c r="N23" s="29"/>
      <c r="O23" s="29"/>
      <c r="S23" s="29"/>
      <c r="T23" s="30"/>
      <c r="U23" s="29"/>
    </row>
    <row r="24" spans="1:30" x14ac:dyDescent="0.2">
      <c r="A24" s="126" t="s">
        <v>73</v>
      </c>
      <c r="B24" s="45"/>
      <c r="C24" s="125">
        <v>0</v>
      </c>
      <c r="D24" s="125">
        <v>0</v>
      </c>
      <c r="E24" s="125">
        <v>0</v>
      </c>
      <c r="F24" s="125">
        <v>190000</v>
      </c>
      <c r="G24" s="125">
        <v>550000</v>
      </c>
      <c r="H24" s="125">
        <v>200000</v>
      </c>
      <c r="I24" s="32">
        <f>SUM(C24:H24)</f>
        <v>940000</v>
      </c>
      <c r="J24" s="134"/>
      <c r="K24" s="35"/>
      <c r="L24" s="36"/>
      <c r="M24" s="35"/>
      <c r="N24" s="6"/>
      <c r="R24" s="6"/>
      <c r="S24" s="6"/>
      <c r="T24" s="6"/>
    </row>
    <row r="25" spans="1:30" x14ac:dyDescent="0.2">
      <c r="A25" s="126" t="s">
        <v>70</v>
      </c>
      <c r="B25" s="45"/>
      <c r="C25" s="135">
        <v>112389.22</v>
      </c>
      <c r="D25" s="135">
        <v>180000</v>
      </c>
      <c r="E25" s="135">
        <v>1425002</v>
      </c>
      <c r="F25" s="135">
        <v>9809094</v>
      </c>
      <c r="G25" s="135">
        <v>206706</v>
      </c>
      <c r="H25" s="135">
        <v>0</v>
      </c>
      <c r="I25" s="32">
        <f>SUM(C25:H25)</f>
        <v>11733191.220000001</v>
      </c>
      <c r="J25" s="44"/>
      <c r="K25" s="6"/>
      <c r="M25" s="35"/>
      <c r="N25" s="36"/>
      <c r="O25" s="35"/>
      <c r="R25" s="6"/>
      <c r="S25" s="6"/>
      <c r="T25" s="6"/>
    </row>
    <row r="26" spans="1:30" x14ac:dyDescent="0.2">
      <c r="A26" s="132" t="s">
        <v>169</v>
      </c>
      <c r="B26" s="45" t="s">
        <v>153</v>
      </c>
      <c r="C26" s="125">
        <v>0</v>
      </c>
      <c r="D26" s="125">
        <v>0</v>
      </c>
      <c r="E26" s="125">
        <v>0</v>
      </c>
      <c r="F26" s="125">
        <v>777727</v>
      </c>
      <c r="G26" s="125">
        <v>0</v>
      </c>
      <c r="H26" s="125">
        <v>0</v>
      </c>
      <c r="I26" s="32">
        <f>SUM(C26:H26)</f>
        <v>777727</v>
      </c>
      <c r="J26" s="127" t="s">
        <v>79</v>
      </c>
      <c r="K26" s="6"/>
      <c r="M26" s="6"/>
      <c r="N26" s="6"/>
      <c r="O26" s="35"/>
      <c r="Q26" s="35"/>
      <c r="R26" s="35"/>
      <c r="S26" s="6"/>
      <c r="T26" s="6"/>
      <c r="V26" s="35"/>
      <c r="W26" s="36"/>
      <c r="X26" s="35"/>
    </row>
    <row r="27" spans="1:30" x14ac:dyDescent="0.2">
      <c r="A27" s="136" t="s">
        <v>82</v>
      </c>
      <c r="B27" s="45" t="s">
        <v>153</v>
      </c>
      <c r="C27" s="125">
        <v>0</v>
      </c>
      <c r="D27" s="125">
        <v>0</v>
      </c>
      <c r="E27" s="125">
        <v>0</v>
      </c>
      <c r="F27" s="125">
        <v>20230000</v>
      </c>
      <c r="G27" s="125">
        <v>2881065</v>
      </c>
      <c r="H27" s="125">
        <v>0</v>
      </c>
      <c r="I27" s="32">
        <f>SUM(C27:H27)</f>
        <v>23111065</v>
      </c>
      <c r="J27" s="44"/>
      <c r="K27" s="6"/>
      <c r="M27" s="35"/>
      <c r="N27" s="36"/>
      <c r="O27" s="35"/>
      <c r="R27" s="6"/>
      <c r="S27" s="6"/>
      <c r="T27" s="6"/>
    </row>
    <row r="28" spans="1:30" x14ac:dyDescent="0.2">
      <c r="C28" s="137"/>
      <c r="D28" s="5"/>
      <c r="E28" s="5"/>
      <c r="F28" s="5"/>
      <c r="G28" s="5"/>
      <c r="H28" s="5"/>
      <c r="I28" s="5"/>
    </row>
    <row r="29" spans="1:30" x14ac:dyDescent="0.2">
      <c r="A29" s="108" t="s">
        <v>84</v>
      </c>
      <c r="B29" s="138" t="s">
        <v>153</v>
      </c>
      <c r="C29" s="125">
        <v>217335.06666666665</v>
      </c>
      <c r="D29" s="125">
        <v>1289067.5711081666</v>
      </c>
      <c r="E29" s="125">
        <v>3153991.7900322098</v>
      </c>
      <c r="F29" s="125">
        <v>11339339.78046984</v>
      </c>
      <c r="G29" s="125">
        <v>0</v>
      </c>
      <c r="H29" s="125">
        <v>0</v>
      </c>
      <c r="I29" s="32">
        <f>SUM(C29:H29)</f>
        <v>15999734.208276883</v>
      </c>
      <c r="J29" s="44" t="s">
        <v>170</v>
      </c>
      <c r="K29" s="6"/>
      <c r="M29" s="35"/>
      <c r="N29" s="36"/>
      <c r="O29" s="35"/>
      <c r="R29" s="6"/>
      <c r="S29" s="6"/>
      <c r="T29" s="6"/>
    </row>
    <row r="30" spans="1:30" x14ac:dyDescent="0.2">
      <c r="A30" s="126" t="s">
        <v>171</v>
      </c>
      <c r="B30" s="138" t="s">
        <v>153</v>
      </c>
      <c r="C30" s="125">
        <v>518476</v>
      </c>
      <c r="D30" s="125">
        <f>SUM(D10:D27)*0.0673</f>
        <v>630139.17528600001</v>
      </c>
      <c r="E30" s="125">
        <f>SUM(E10:E27)*0.0673</f>
        <v>2410780.0181</v>
      </c>
      <c r="F30" s="125">
        <f>SUM(F10:F27)*0.0673</f>
        <v>12879995.072699999</v>
      </c>
      <c r="G30" s="125">
        <f>SUM(G10:G27)*0.0673</f>
        <v>859875.47690000001</v>
      </c>
      <c r="H30" s="125">
        <f>SUM(H10:H27)*0.0673</f>
        <v>14806</v>
      </c>
      <c r="I30" s="32">
        <f>SUM(C30:H30)</f>
        <v>17314071.742985997</v>
      </c>
      <c r="J30" s="44" t="s">
        <v>172</v>
      </c>
      <c r="K30" s="6"/>
      <c r="M30" s="6"/>
      <c r="N30" s="6"/>
      <c r="O30" s="35"/>
      <c r="Q30" s="35"/>
      <c r="R30" s="35"/>
      <c r="S30" s="6"/>
      <c r="T30" s="6"/>
      <c r="V30" s="35"/>
      <c r="W30" s="36"/>
      <c r="X30" s="35"/>
    </row>
    <row r="32" spans="1:30" s="42" customFormat="1" ht="12.75" x14ac:dyDescent="0.2">
      <c r="A32" s="38" t="s">
        <v>15</v>
      </c>
      <c r="B32" s="39"/>
      <c r="C32" s="40"/>
      <c r="D32" s="41"/>
      <c r="E32" s="40"/>
      <c r="F32" s="40"/>
      <c r="G32" s="40"/>
      <c r="H32" s="40"/>
      <c r="I32" s="40"/>
      <c r="J32" s="40"/>
      <c r="K32" s="40"/>
      <c r="L32" s="41"/>
      <c r="M32" s="40"/>
      <c r="N32" s="40"/>
      <c r="O32" s="40"/>
      <c r="P32" s="40"/>
      <c r="Q32" s="40"/>
      <c r="R32" s="40"/>
      <c r="W32" s="41"/>
      <c r="X32" s="41"/>
      <c r="AB32" s="41"/>
      <c r="AC32" s="43"/>
      <c r="AD32" s="41"/>
    </row>
    <row r="33" spans="1:24" x14ac:dyDescent="0.2">
      <c r="A33" s="78" t="s">
        <v>79</v>
      </c>
      <c r="J33" s="3"/>
      <c r="K33" s="6"/>
      <c r="M33" s="6"/>
      <c r="N33" s="6"/>
      <c r="O33" s="35"/>
      <c r="Q33" s="35"/>
      <c r="R33" s="35"/>
      <c r="S33" s="6"/>
      <c r="T33" s="6"/>
      <c r="V33" s="35"/>
      <c r="W33" s="36"/>
      <c r="X33" s="35"/>
    </row>
    <row r="34" spans="1:24" x14ac:dyDescent="0.2">
      <c r="A34" s="139" t="s">
        <v>16</v>
      </c>
      <c r="B34" s="44" t="s">
        <v>17</v>
      </c>
      <c r="C34" s="125"/>
      <c r="D34" s="125"/>
      <c r="E34" s="125"/>
      <c r="F34" s="140">
        <v>1546910</v>
      </c>
      <c r="G34" s="125"/>
      <c r="H34" s="125"/>
      <c r="I34" s="32">
        <f>SUM(C34:H34)</f>
        <v>1546910</v>
      </c>
      <c r="J34" s="127"/>
      <c r="K34" s="6"/>
      <c r="M34" s="6"/>
      <c r="N34" s="6"/>
      <c r="O34" s="35"/>
      <c r="Q34" s="35"/>
      <c r="R34" s="35"/>
      <c r="S34" s="6"/>
      <c r="T34" s="6"/>
      <c r="V34" s="35"/>
      <c r="W34" s="36"/>
      <c r="X34" s="35"/>
    </row>
    <row r="35" spans="1:24" x14ac:dyDescent="0.2">
      <c r="A35" s="139" t="s">
        <v>22</v>
      </c>
      <c r="B35" s="44" t="s">
        <v>23</v>
      </c>
      <c r="C35" s="125"/>
      <c r="D35" s="125"/>
      <c r="E35" s="125"/>
      <c r="F35" s="141">
        <v>4095520</v>
      </c>
      <c r="G35" s="125"/>
      <c r="H35" s="125"/>
      <c r="I35" s="32">
        <f t="shared" ref="I35:I42" si="5">SUM(C35:H35)</f>
        <v>4095520</v>
      </c>
      <c r="J35" s="127"/>
      <c r="K35" s="6"/>
      <c r="M35" s="6"/>
      <c r="N35" s="6"/>
      <c r="O35" s="35"/>
      <c r="Q35" s="35"/>
      <c r="R35" s="35"/>
      <c r="S35" s="6"/>
      <c r="T35" s="6"/>
      <c r="V35" s="35"/>
      <c r="W35" s="36"/>
      <c r="X35" s="35"/>
    </row>
    <row r="36" spans="1:24" x14ac:dyDescent="0.2">
      <c r="A36" s="139" t="s">
        <v>24</v>
      </c>
      <c r="B36" s="44" t="s">
        <v>25</v>
      </c>
      <c r="C36" s="125"/>
      <c r="D36" s="125"/>
      <c r="E36" s="125"/>
      <c r="F36" s="140">
        <v>10504404</v>
      </c>
      <c r="G36" s="125"/>
      <c r="H36" s="125"/>
      <c r="I36" s="32">
        <f t="shared" si="5"/>
        <v>10504404</v>
      </c>
      <c r="J36" s="127"/>
      <c r="K36" s="6"/>
      <c r="M36" s="6"/>
      <c r="N36" s="6"/>
      <c r="O36" s="35"/>
      <c r="Q36" s="35"/>
      <c r="R36" s="35"/>
      <c r="S36" s="6"/>
      <c r="T36" s="6"/>
      <c r="V36" s="35"/>
      <c r="W36" s="36"/>
      <c r="X36" s="35"/>
    </row>
    <row r="37" spans="1:24" x14ac:dyDescent="0.2">
      <c r="A37" s="139" t="s">
        <v>26</v>
      </c>
      <c r="B37" s="44" t="s">
        <v>27</v>
      </c>
      <c r="C37" s="125"/>
      <c r="D37" s="125"/>
      <c r="E37" s="125"/>
      <c r="F37" s="140">
        <v>15016660</v>
      </c>
      <c r="G37" s="125"/>
      <c r="H37" s="125"/>
      <c r="I37" s="32">
        <f t="shared" si="5"/>
        <v>15016660</v>
      </c>
      <c r="J37" s="127"/>
      <c r="K37" s="6"/>
      <c r="M37" s="6"/>
      <c r="N37" s="6"/>
      <c r="O37" s="35"/>
      <c r="Q37" s="35"/>
      <c r="R37" s="35"/>
      <c r="S37" s="6"/>
      <c r="T37" s="6"/>
      <c r="V37" s="35"/>
      <c r="W37" s="36"/>
      <c r="X37" s="35"/>
    </row>
    <row r="38" spans="1:24" x14ac:dyDescent="0.2">
      <c r="A38" s="78" t="s">
        <v>173</v>
      </c>
      <c r="J38" s="3"/>
      <c r="K38" s="6"/>
      <c r="M38" s="6"/>
      <c r="N38" s="6"/>
      <c r="O38" s="35"/>
      <c r="Q38" s="35"/>
      <c r="R38" s="35"/>
      <c r="S38" s="6"/>
      <c r="T38" s="6"/>
      <c r="V38" s="35"/>
      <c r="W38" s="36"/>
      <c r="X38" s="35"/>
    </row>
    <row r="39" spans="1:24" x14ac:dyDescent="0.2">
      <c r="A39" s="139" t="s">
        <v>16</v>
      </c>
      <c r="B39" s="44" t="s">
        <v>17</v>
      </c>
      <c r="C39" s="125"/>
      <c r="D39" s="125"/>
      <c r="E39" s="125"/>
      <c r="F39" s="140">
        <v>1488400</v>
      </c>
      <c r="G39" s="125"/>
      <c r="H39" s="125"/>
      <c r="I39" s="32">
        <f t="shared" si="5"/>
        <v>1488400</v>
      </c>
      <c r="J39" s="127"/>
      <c r="K39" s="6"/>
      <c r="M39" s="6"/>
      <c r="N39" s="6"/>
      <c r="O39" s="35"/>
      <c r="Q39" s="35"/>
      <c r="R39" s="35"/>
      <c r="S39" s="6"/>
      <c r="T39" s="6"/>
      <c r="V39" s="35"/>
      <c r="W39" s="36"/>
      <c r="X39" s="35"/>
    </row>
    <row r="40" spans="1:24" x14ac:dyDescent="0.2">
      <c r="A40" s="139" t="s">
        <v>22</v>
      </c>
      <c r="B40" s="44" t="s">
        <v>23</v>
      </c>
      <c r="C40" s="125"/>
      <c r="D40" s="125"/>
      <c r="E40" s="125"/>
      <c r="F40" s="141">
        <v>3594650</v>
      </c>
      <c r="G40" s="125"/>
      <c r="H40" s="125"/>
      <c r="I40" s="32">
        <f t="shared" si="5"/>
        <v>3594650</v>
      </c>
      <c r="J40" s="127"/>
      <c r="K40" s="6"/>
      <c r="M40" s="6"/>
      <c r="N40" s="6"/>
      <c r="O40" s="35"/>
      <c r="Q40" s="35"/>
      <c r="R40" s="35"/>
      <c r="S40" s="6"/>
      <c r="T40" s="6"/>
      <c r="V40" s="35"/>
      <c r="W40" s="36"/>
      <c r="X40" s="35"/>
    </row>
    <row r="41" spans="1:24" x14ac:dyDescent="0.2">
      <c r="A41" s="139" t="s">
        <v>24</v>
      </c>
      <c r="B41" s="44" t="s">
        <v>25</v>
      </c>
      <c r="C41" s="125"/>
      <c r="D41" s="125"/>
      <c r="E41" s="125"/>
      <c r="F41" s="140">
        <v>6454288</v>
      </c>
      <c r="G41" s="125"/>
      <c r="H41" s="125"/>
      <c r="I41" s="32">
        <f t="shared" si="5"/>
        <v>6454288</v>
      </c>
      <c r="J41" s="127"/>
      <c r="K41" s="6"/>
      <c r="M41" s="6"/>
      <c r="N41" s="6"/>
      <c r="O41" s="35"/>
      <c r="Q41" s="35"/>
      <c r="R41" s="35"/>
      <c r="S41" s="6"/>
      <c r="T41" s="6"/>
      <c r="V41" s="35"/>
      <c r="W41" s="36"/>
      <c r="X41" s="35"/>
    </row>
    <row r="42" spans="1:24" x14ac:dyDescent="0.2">
      <c r="A42" s="139" t="s">
        <v>26</v>
      </c>
      <c r="B42" s="44" t="s">
        <v>27</v>
      </c>
      <c r="C42" s="125"/>
      <c r="D42" s="125"/>
      <c r="E42" s="125"/>
      <c r="F42" s="140">
        <v>8885025</v>
      </c>
      <c r="G42" s="125"/>
      <c r="H42" s="125"/>
      <c r="I42" s="32">
        <f t="shared" si="5"/>
        <v>8885025</v>
      </c>
      <c r="J42" s="127"/>
      <c r="K42" s="6"/>
      <c r="M42" s="6"/>
      <c r="N42" s="6"/>
      <c r="O42" s="35"/>
      <c r="Q42" s="35"/>
      <c r="R42" s="35"/>
      <c r="S42" s="6"/>
      <c r="T42" s="6"/>
      <c r="V42" s="35"/>
      <c r="W42" s="36"/>
      <c r="X42" s="35"/>
    </row>
    <row r="46" spans="1:24" x14ac:dyDescent="0.2">
      <c r="F46" s="142"/>
    </row>
    <row r="81" spans="3:20" x14ac:dyDescent="0.2">
      <c r="C81" s="3"/>
      <c r="E81" s="143"/>
      <c r="H81" s="6"/>
      <c r="I81" s="4"/>
      <c r="L81" s="4"/>
      <c r="M81" s="6"/>
      <c r="N81" s="6"/>
      <c r="P81" s="4"/>
      <c r="Q81" s="8"/>
      <c r="S81" s="6"/>
      <c r="T81" s="6"/>
    </row>
    <row r="82" spans="3:20" x14ac:dyDescent="0.2">
      <c r="C82" s="3"/>
      <c r="H82" s="6"/>
      <c r="I82" s="4"/>
      <c r="L82" s="4"/>
      <c r="M82" s="6"/>
      <c r="N82" s="6"/>
      <c r="P82" s="4"/>
      <c r="Q82" s="8"/>
      <c r="S82" s="6"/>
      <c r="T82" s="6"/>
    </row>
  </sheetData>
  <mergeCells count="1">
    <mergeCell ref="C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 State Summary</vt:lpstr>
      <vt:lpstr>Total Spending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L. Lahr</dc:creator>
  <cp:lastModifiedBy>Umer Farooq</cp:lastModifiedBy>
  <dcterms:created xsi:type="dcterms:W3CDTF">2019-09-23T16:08:22Z</dcterms:created>
  <dcterms:modified xsi:type="dcterms:W3CDTF">2024-02-29T15:11:20Z</dcterms:modified>
</cp:coreProperties>
</file>